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930d9c7091b17d/Escritorio/UNIR/TFM_septiembre/Results/Combinados/"/>
    </mc:Choice>
  </mc:AlternateContent>
  <xr:revisionPtr revIDLastSave="14" documentId="8_{9EB1271D-E061-4A10-BF0D-93AC1A51F140}" xr6:coauthVersionLast="47" xr6:coauthVersionMax="47" xr10:uidLastSave="{D3A3480A-489B-4789-A50A-0AE695FE1486}"/>
  <bookViews>
    <workbookView xWindow="168" yWindow="336" windowWidth="16332" windowHeight="12000" xr2:uid="{E6D3E9DE-FB5D-45C6-B45A-3A7563A72AF4}"/>
  </bookViews>
  <sheets>
    <sheet name="H.sap.(sangre)" sheetId="1" r:id="rId1"/>
    <sheet name="M.musc.(aorta)" sheetId="2" r:id="rId2"/>
    <sheet name="M.musc.(higado)" sheetId="4" r:id="rId3"/>
    <sheet name="M.musc.(piel)" sheetId="5" r:id="rId4"/>
  </sheets>
  <definedNames>
    <definedName name="_xlnm._FilterDatabase" localSheetId="0" hidden="1">'H.sap.(sangre)'!$A$4:$G$9</definedName>
    <definedName name="_xlnm._FilterDatabase" localSheetId="1" hidden="1">'M.musc.(aorta)'!$K$4:$S$113</definedName>
    <definedName name="_xlnm._FilterDatabase" localSheetId="2" hidden="1">'M.musc.(higado)'!$K$4:$S$140</definedName>
    <definedName name="_xlnm._FilterDatabase" localSheetId="3" hidden="1">'M.musc.(piel)'!$K$4:$S$140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P3" i="1"/>
  <c r="P2" i="1"/>
  <c r="Y3" i="5"/>
  <c r="O3" i="5"/>
  <c r="E3" i="5"/>
  <c r="Y2" i="5"/>
  <c r="O2" i="5"/>
  <c r="E2" i="5"/>
  <c r="Y1" i="5"/>
  <c r="O1" i="5"/>
  <c r="E1" i="5"/>
  <c r="Y3" i="4"/>
  <c r="O3" i="4"/>
  <c r="E3" i="4"/>
  <c r="Y2" i="4"/>
  <c r="O2" i="4"/>
  <c r="E2" i="4"/>
  <c r="Y1" i="4"/>
  <c r="O1" i="4"/>
  <c r="E1" i="4"/>
  <c r="Y3" i="2"/>
  <c r="Y2" i="2"/>
  <c r="Y1" i="2"/>
  <c r="O3" i="2"/>
  <c r="O2" i="2"/>
  <c r="O1" i="2"/>
  <c r="E3" i="2"/>
  <c r="E2" i="2"/>
  <c r="E1" i="2"/>
  <c r="E3" i="1"/>
  <c r="E2" i="1"/>
  <c r="E1" i="1"/>
</calcChain>
</file>

<file path=xl/sharedStrings.xml><?xml version="1.0" encoding="utf-8"?>
<sst xmlns="http://schemas.openxmlformats.org/spreadsheetml/2006/main" count="1627" uniqueCount="489">
  <si>
    <t>Genes up:</t>
  </si>
  <si>
    <t>DESeq2</t>
  </si>
  <si>
    <t>Genes down:</t>
  </si>
  <si>
    <t>gen</t>
  </si>
  <si>
    <t>media de conteos normalizados</t>
  </si>
  <si>
    <t>log2 fold change</t>
  </si>
  <si>
    <t>error estandar de LFC</t>
  </si>
  <si>
    <t>p-value</t>
  </si>
  <si>
    <t>p-value ajustado</t>
  </si>
  <si>
    <t>&lt; 0.001</t>
  </si>
  <si>
    <t>0.013 (*)</t>
  </si>
  <si>
    <t>DOCK10</t>
  </si>
  <si>
    <t>BANK1</t>
  </si>
  <si>
    <t>0.046 (*)</t>
  </si>
  <si>
    <t>RFX3</t>
  </si>
  <si>
    <t>SEC61B</t>
  </si>
  <si>
    <t>SIK3</t>
  </si>
  <si>
    <t>0.047 (*)</t>
  </si>
  <si>
    <t>Total genes sig.:</t>
  </si>
  <si>
    <t>Tratamiento:</t>
  </si>
  <si>
    <t>Análisis:</t>
  </si>
  <si>
    <t>Homo sapiens</t>
  </si>
  <si>
    <t>Sangre</t>
  </si>
  <si>
    <t>Agpat2</t>
  </si>
  <si>
    <t>&lt; 0.0001 (****)</t>
  </si>
  <si>
    <t>-</t>
  </si>
  <si>
    <t>Ndufc1</t>
  </si>
  <si>
    <t>Ddhd2</t>
  </si>
  <si>
    <t>0.0004 (***)</t>
  </si>
  <si>
    <t>Uqcr11</t>
  </si>
  <si>
    <t>0.002 (**)</t>
  </si>
  <si>
    <t>Atp5k</t>
  </si>
  <si>
    <t>Ndufv3</t>
  </si>
  <si>
    <t>Plin2</t>
  </si>
  <si>
    <t>Ndufc2</t>
  </si>
  <si>
    <t>Uqcr10</t>
  </si>
  <si>
    <t>Pgd</t>
  </si>
  <si>
    <t>Cox6b1</t>
  </si>
  <si>
    <t>Chchd10</t>
  </si>
  <si>
    <t>Eno1</t>
  </si>
  <si>
    <t>0.003 (**)</t>
  </si>
  <si>
    <t>Chpt1</t>
  </si>
  <si>
    <t>Ndufa12</t>
  </si>
  <si>
    <t>Gm10053</t>
  </si>
  <si>
    <t>Cyc1</t>
  </si>
  <si>
    <t>Acsl5</t>
  </si>
  <si>
    <t>Cib2</t>
  </si>
  <si>
    <t>Cycs</t>
  </si>
  <si>
    <t>Ndufa6</t>
  </si>
  <si>
    <t>Elovl6</t>
  </si>
  <si>
    <t>Btg2</t>
  </si>
  <si>
    <t>0.004 (**)</t>
  </si>
  <si>
    <t>Mpc2</t>
  </si>
  <si>
    <t>0.007 (**)</t>
  </si>
  <si>
    <t>Hadha</t>
  </si>
  <si>
    <t>Cyr61</t>
  </si>
  <si>
    <t>Atp5j2</t>
  </si>
  <si>
    <t>Ctgf</t>
  </si>
  <si>
    <t>0.009 (**)</t>
  </si>
  <si>
    <t>Gm20594</t>
  </si>
  <si>
    <t>Cox7b</t>
  </si>
  <si>
    <t>0.011 (*)</t>
  </si>
  <si>
    <t>Uqcrq</t>
  </si>
  <si>
    <t>Uqcrfs1</t>
  </si>
  <si>
    <t>Pfkl</t>
  </si>
  <si>
    <t>Otop1</t>
  </si>
  <si>
    <t>Hadh</t>
  </si>
  <si>
    <t>0.015 (*)</t>
  </si>
  <si>
    <t>Ndufa4</t>
  </si>
  <si>
    <t>Dusp1</t>
  </si>
  <si>
    <t>0.016 (*)</t>
  </si>
  <si>
    <t>Hk2</t>
  </si>
  <si>
    <t>0.017 (*)</t>
  </si>
  <si>
    <t>Gpd1</t>
  </si>
  <si>
    <t>0.020 (*)</t>
  </si>
  <si>
    <t>Ndufb6</t>
  </si>
  <si>
    <t>Ndufb9</t>
  </si>
  <si>
    <t>Bola3</t>
  </si>
  <si>
    <t>Ndufb8</t>
  </si>
  <si>
    <t>Fos</t>
  </si>
  <si>
    <t>Ndufa1</t>
  </si>
  <si>
    <t>0.023 (*)</t>
  </si>
  <si>
    <t>Thrsp</t>
  </si>
  <si>
    <t>G6pdx</t>
  </si>
  <si>
    <t>0.024 (*)</t>
  </si>
  <si>
    <t>Ucp1</t>
  </si>
  <si>
    <t>0.027 (*)</t>
  </si>
  <si>
    <t>Cox7c</t>
  </si>
  <si>
    <t>Pdha1</t>
  </si>
  <si>
    <t>Cox8b</t>
  </si>
  <si>
    <t>Mgll</t>
  </si>
  <si>
    <t>Cox6a1</t>
  </si>
  <si>
    <t>Ndufb5</t>
  </si>
  <si>
    <t>4931406C07Rik</t>
  </si>
  <si>
    <t>Cpt2</t>
  </si>
  <si>
    <t>Atp5o</t>
  </si>
  <si>
    <t>Gpd2</t>
  </si>
  <si>
    <t>0.028 (*)</t>
  </si>
  <si>
    <t>Gpi1</t>
  </si>
  <si>
    <t>Mpc1</t>
  </si>
  <si>
    <t>Mrps36</t>
  </si>
  <si>
    <t>Ghitm</t>
  </si>
  <si>
    <t>Ndufb4</t>
  </si>
  <si>
    <t>Elovl3</t>
  </si>
  <si>
    <t>Cox5b</t>
  </si>
  <si>
    <t>Aldoa</t>
  </si>
  <si>
    <t>Ldha</t>
  </si>
  <si>
    <t>Cox6c</t>
  </si>
  <si>
    <t>Ndufb2</t>
  </si>
  <si>
    <t>Ppp2r5a</t>
  </si>
  <si>
    <t>Apoc1</t>
  </si>
  <si>
    <t>Fabp3</t>
  </si>
  <si>
    <t>Tkt</t>
  </si>
  <si>
    <t>Gpx4</t>
  </si>
  <si>
    <t>Mrpl30</t>
  </si>
  <si>
    <t>Dgat2</t>
  </si>
  <si>
    <t>Rbp7</t>
  </si>
  <si>
    <t>Letmd1</t>
  </si>
  <si>
    <t>Atp5f1</t>
  </si>
  <si>
    <t>0.029 (*)</t>
  </si>
  <si>
    <t>Fam195a</t>
  </si>
  <si>
    <t>Acadl</t>
  </si>
  <si>
    <t>Fabp4</t>
  </si>
  <si>
    <t>Atox1</t>
  </si>
  <si>
    <t>Ndufa8</t>
  </si>
  <si>
    <t>Mustn1</t>
  </si>
  <si>
    <t>Ndufa5</t>
  </si>
  <si>
    <t>Pcx</t>
  </si>
  <si>
    <t>Cox7a1</t>
  </si>
  <si>
    <t>Egr1</t>
  </si>
  <si>
    <t>1700037H04Rik</t>
  </si>
  <si>
    <t>Xist</t>
  </si>
  <si>
    <t>Paqr9</t>
  </si>
  <si>
    <t>Dbi</t>
  </si>
  <si>
    <t>Sod2</t>
  </si>
  <si>
    <t>Cox4i1</t>
  </si>
  <si>
    <t>2410015M20Rik</t>
  </si>
  <si>
    <t>Slc25a1</t>
  </si>
  <si>
    <t>Acaca</t>
  </si>
  <si>
    <t>Taldo1</t>
  </si>
  <si>
    <t>Idh3a</t>
  </si>
  <si>
    <t>0.030 (*)</t>
  </si>
  <si>
    <t>Cox5a</t>
  </si>
  <si>
    <t>Pkm</t>
  </si>
  <si>
    <t>Atp5e</t>
  </si>
  <si>
    <t>0.031 (*)</t>
  </si>
  <si>
    <t>Coq8a</t>
  </si>
  <si>
    <t>Hsd17b12</t>
  </si>
  <si>
    <t>Echs1</t>
  </si>
  <si>
    <t>0.0001 (***)</t>
  </si>
  <si>
    <t>0.032 (*)</t>
  </si>
  <si>
    <t>Ndufa13</t>
  </si>
  <si>
    <t>Pdhb</t>
  </si>
  <si>
    <t>Acad11</t>
  </si>
  <si>
    <t>0.0002 (***)</t>
  </si>
  <si>
    <t>Pnpla2</t>
  </si>
  <si>
    <t>Ech1</t>
  </si>
  <si>
    <t>Cd36</t>
  </si>
  <si>
    <t>Aifm1</t>
  </si>
  <si>
    <t>Ndufs5</t>
  </si>
  <si>
    <t>Ndufs8</t>
  </si>
  <si>
    <t>Atp5d</t>
  </si>
  <si>
    <t>Decr1</t>
  </si>
  <si>
    <t>Ndufs7</t>
  </si>
  <si>
    <t>Derl1</t>
  </si>
  <si>
    <t>0.033 (*)</t>
  </si>
  <si>
    <t>Serpine1</t>
  </si>
  <si>
    <t>Dlat</t>
  </si>
  <si>
    <t>Uqcrc2</t>
  </si>
  <si>
    <t>Ephx2</t>
  </si>
  <si>
    <t>Scp2</t>
  </si>
  <si>
    <t>Slc25a20</t>
  </si>
  <si>
    <t>0.034 (*)</t>
  </si>
  <si>
    <t>Fasn</t>
  </si>
  <si>
    <t>Idh3g</t>
  </si>
  <si>
    <t>Sucla2</t>
  </si>
  <si>
    <t>0.0003 (***)</t>
  </si>
  <si>
    <t>Mtch2</t>
  </si>
  <si>
    <t>Cpe</t>
  </si>
  <si>
    <t>0.035 (*)</t>
  </si>
  <si>
    <t>Ifi27</t>
  </si>
  <si>
    <t>Acot11</t>
  </si>
  <si>
    <t>Ldhb</t>
  </si>
  <si>
    <t>Arxes2</t>
  </si>
  <si>
    <t>0.036 (*)</t>
  </si>
  <si>
    <t>Aco2</t>
  </si>
  <si>
    <t>Letm1</t>
  </si>
  <si>
    <t>Adrb3</t>
  </si>
  <si>
    <t>Ndufv2</t>
  </si>
  <si>
    <t>Vcam1</t>
  </si>
  <si>
    <t>0.037 (*)</t>
  </si>
  <si>
    <t>Gapdh</t>
  </si>
  <si>
    <t>Acsl1</t>
  </si>
  <si>
    <t>Sdha</t>
  </si>
  <si>
    <t>Dbt</t>
  </si>
  <si>
    <t>0.038 (*)</t>
  </si>
  <si>
    <t>Atp5a1</t>
  </si>
  <si>
    <t>0.039 (*)</t>
  </si>
  <si>
    <t>0.0005 (***)</t>
  </si>
  <si>
    <t>Acadm</t>
  </si>
  <si>
    <t>Deptor</t>
  </si>
  <si>
    <t>Aifm2</t>
  </si>
  <si>
    <t>Dnajc15</t>
  </si>
  <si>
    <t>Acly</t>
  </si>
  <si>
    <t>0.041 (*)</t>
  </si>
  <si>
    <t>0.0006 (***)</t>
  </si>
  <si>
    <t>0.042 (*)</t>
  </si>
  <si>
    <t>0.0007 (***)</t>
  </si>
  <si>
    <t>Ndufab1</t>
  </si>
  <si>
    <t>Etfdh</t>
  </si>
  <si>
    <t>Ces1d</t>
  </si>
  <si>
    <t>0.043 (*)</t>
  </si>
  <si>
    <t>0.044 (*)</t>
  </si>
  <si>
    <t>Acta2</t>
  </si>
  <si>
    <t>Sdhb</t>
  </si>
  <si>
    <t>0.0008 (***)</t>
  </si>
  <si>
    <t>Susd5</t>
  </si>
  <si>
    <t>Crat</t>
  </si>
  <si>
    <t>Pde3b</t>
  </si>
  <si>
    <t>Hadhb</t>
  </si>
  <si>
    <t>0.0009 (***)</t>
  </si>
  <si>
    <t>Sdhc</t>
  </si>
  <si>
    <t>Mgst1</t>
  </si>
  <si>
    <t>Dhrs7</t>
  </si>
  <si>
    <t>0.049 (*)</t>
  </si>
  <si>
    <t>1110008P14Rik</t>
  </si>
  <si>
    <t>0.0010 (***)</t>
  </si>
  <si>
    <t>S100a1</t>
  </si>
  <si>
    <t>0.001 (**)</t>
  </si>
  <si>
    <t>Pygl</t>
  </si>
  <si>
    <t>Echdc1</t>
  </si>
  <si>
    <t>Prkar2b</t>
  </si>
  <si>
    <t>Uqcrb</t>
  </si>
  <si>
    <t>Cisd1</t>
  </si>
  <si>
    <t>Dld</t>
  </si>
  <si>
    <t>Acaa2</t>
  </si>
  <si>
    <t>Ahcyl1</t>
  </si>
  <si>
    <t>Pck1</t>
  </si>
  <si>
    <t>1110008F13Rik</t>
  </si>
  <si>
    <t>Etfa</t>
  </si>
  <si>
    <t>Cox8a</t>
  </si>
  <si>
    <t>Jun</t>
  </si>
  <si>
    <t>Acadvl</t>
  </si>
  <si>
    <t>2010107E04Rik</t>
  </si>
  <si>
    <t>Chchd3</t>
  </si>
  <si>
    <t>Me1</t>
  </si>
  <si>
    <t>Mdh1</t>
  </si>
  <si>
    <t>Hspa9</t>
  </si>
  <si>
    <t>Acacb</t>
  </si>
  <si>
    <t>Ndufa10</t>
  </si>
  <si>
    <t>Prdx3</t>
  </si>
  <si>
    <t>Ndufa3</t>
  </si>
  <si>
    <t>Mdh2</t>
  </si>
  <si>
    <t>Pdk4</t>
  </si>
  <si>
    <t>Slc36a2</t>
  </si>
  <si>
    <t>Fam213a</t>
  </si>
  <si>
    <t>Hspa1a</t>
  </si>
  <si>
    <t>Cisd3</t>
  </si>
  <si>
    <t>Acox1</t>
  </si>
  <si>
    <t>Nr4a1</t>
  </si>
  <si>
    <t>0.005 (**)</t>
  </si>
  <si>
    <t>Uqcrc1</t>
  </si>
  <si>
    <t>0.006 (**)</t>
  </si>
  <si>
    <t>Pgk1</t>
  </si>
  <si>
    <t>Aacs</t>
  </si>
  <si>
    <t>Pet100</t>
  </si>
  <si>
    <t>Cox17</t>
  </si>
  <si>
    <t>Usmg5</t>
  </si>
  <si>
    <t>Ptp4a1</t>
  </si>
  <si>
    <t>Suclg1</t>
  </si>
  <si>
    <t>Cs</t>
  </si>
  <si>
    <t>Cidea</t>
  </si>
  <si>
    <t>Lpin1</t>
  </si>
  <si>
    <t>Slc25a39</t>
  </si>
  <si>
    <t>Agpat3</t>
  </si>
  <si>
    <t>Tmem135</t>
  </si>
  <si>
    <t>2310022B05Rik</t>
  </si>
  <si>
    <t>0.008 (**)</t>
  </si>
  <si>
    <t>Adig</t>
  </si>
  <si>
    <t>Plin1</t>
  </si>
  <si>
    <t>Ogdh</t>
  </si>
  <si>
    <t>Cytl1</t>
  </si>
  <si>
    <t>Tmed5</t>
  </si>
  <si>
    <t>Ndufb10</t>
  </si>
  <si>
    <t>mt-Co2</t>
  </si>
  <si>
    <t>Hspa1b</t>
  </si>
  <si>
    <t>0.010 (**)</t>
  </si>
  <si>
    <t>Comt</t>
  </si>
  <si>
    <t>Ndufs4</t>
  </si>
  <si>
    <t>0.010 (*)</t>
  </si>
  <si>
    <t>Slc16a1</t>
  </si>
  <si>
    <t>Grpel1</t>
  </si>
  <si>
    <t>Pgam1</t>
  </si>
  <si>
    <t>Dgat1</t>
  </si>
  <si>
    <t>0.012 (*)</t>
  </si>
  <si>
    <t>Gm13889</t>
  </si>
  <si>
    <t>Hibadh</t>
  </si>
  <si>
    <t>Mrpl51</t>
  </si>
  <si>
    <t>Tomm5</t>
  </si>
  <si>
    <t>Snx10</t>
  </si>
  <si>
    <t>Ywhag</t>
  </si>
  <si>
    <t>Acat1</t>
  </si>
  <si>
    <t>Mrpl36</t>
  </si>
  <si>
    <t>Mrap</t>
  </si>
  <si>
    <t>Phyh</t>
  </si>
  <si>
    <t>Slc4a4</t>
  </si>
  <si>
    <t>Pgm2</t>
  </si>
  <si>
    <t>0.014 (*)</t>
  </si>
  <si>
    <t>Snrk</t>
  </si>
  <si>
    <t>Abcd3</t>
  </si>
  <si>
    <t>Dbp</t>
  </si>
  <si>
    <t>Dnajc19</t>
  </si>
  <si>
    <t>Acss2</t>
  </si>
  <si>
    <t>0610012G03Rik</t>
  </si>
  <si>
    <t>Fabp5</t>
  </si>
  <si>
    <t>Glul</t>
  </si>
  <si>
    <t>Zfp36</t>
  </si>
  <si>
    <t>Egln1</t>
  </si>
  <si>
    <t>0.018 (*)</t>
  </si>
  <si>
    <t>mt-Cytb</t>
  </si>
  <si>
    <t>Coa5</t>
  </si>
  <si>
    <t>0.019 (*)</t>
  </si>
  <si>
    <t>Npc2</t>
  </si>
  <si>
    <t>Dpysl3</t>
  </si>
  <si>
    <t>Tmem45b</t>
  </si>
  <si>
    <t>Slc25a51</t>
  </si>
  <si>
    <t>Hsd17b4</t>
  </si>
  <si>
    <t>0.021 (*)</t>
  </si>
  <si>
    <t>Wwp2</t>
  </si>
  <si>
    <t>Cat</t>
  </si>
  <si>
    <t>Wfdc1</t>
  </si>
  <si>
    <t>Mtx2</t>
  </si>
  <si>
    <t>Vdac1</t>
  </si>
  <si>
    <t>Mcee</t>
  </si>
  <si>
    <t>Hsd11b1</t>
  </si>
  <si>
    <t>0.025 (*)</t>
  </si>
  <si>
    <t>F2r</t>
  </si>
  <si>
    <t>Ndufs6</t>
  </si>
  <si>
    <t>0.026 (*)</t>
  </si>
  <si>
    <t>Tagln2</t>
  </si>
  <si>
    <t>Sdhd</t>
  </si>
  <si>
    <t>Rbp4</t>
  </si>
  <si>
    <t>Rmdn1</t>
  </si>
  <si>
    <t>Mrps33</t>
  </si>
  <si>
    <t>Scube3</t>
  </si>
  <si>
    <t>Pparg</t>
  </si>
  <si>
    <t>Lipe</t>
  </si>
  <si>
    <t>Samm50</t>
  </si>
  <si>
    <t>Mrpl34</t>
  </si>
  <si>
    <t>0.040 (*)</t>
  </si>
  <si>
    <t>Errfi1</t>
  </si>
  <si>
    <t>Vegfb</t>
  </si>
  <si>
    <t>Sephs2</t>
  </si>
  <si>
    <t>Lmcd1</t>
  </si>
  <si>
    <t>Mrpl12</t>
  </si>
  <si>
    <t>Plin5</t>
  </si>
  <si>
    <t>Kcnk3</t>
  </si>
  <si>
    <t>Clmn</t>
  </si>
  <si>
    <t>Acot13</t>
  </si>
  <si>
    <t>Rfk</t>
  </si>
  <si>
    <t>0.048 (*)</t>
  </si>
  <si>
    <t>Pcca</t>
  </si>
  <si>
    <t>Eln</t>
  </si>
  <si>
    <t>Timm23</t>
  </si>
  <si>
    <t>2310039H08Rik</t>
  </si>
  <si>
    <t>Itga5</t>
  </si>
  <si>
    <t>Sparcl1</t>
  </si>
  <si>
    <t>Pank1</t>
  </si>
  <si>
    <t>0.050 (*)</t>
  </si>
  <si>
    <t>Souza2019</t>
  </si>
  <si>
    <t>Mus musc.</t>
  </si>
  <si>
    <t>Aorta</t>
  </si>
  <si>
    <t xml:space="preserve">Tratamiento: </t>
  </si>
  <si>
    <t>Sorokin 2023</t>
  </si>
  <si>
    <t>Sup.DHA vs Ctrl</t>
  </si>
  <si>
    <t>Sup.EPA vs Ctrl</t>
  </si>
  <si>
    <t>Sup.EPA vs Sup.DHA</t>
  </si>
  <si>
    <t>(0 genes sig.)</t>
  </si>
  <si>
    <t>Higado</t>
  </si>
  <si>
    <t>Mup2</t>
  </si>
  <si>
    <t>Hsp90b1</t>
  </si>
  <si>
    <t>Nudt7</t>
  </si>
  <si>
    <t>Ces3b</t>
  </si>
  <si>
    <t>Gm13775</t>
  </si>
  <si>
    <t>Abhd2</t>
  </si>
  <si>
    <t>Fmo2</t>
  </si>
  <si>
    <t>Mup3</t>
  </si>
  <si>
    <t>Cyp2b13</t>
  </si>
  <si>
    <t>Fmo3</t>
  </si>
  <si>
    <t>Ociad2</t>
  </si>
  <si>
    <t>Sult3a1</t>
  </si>
  <si>
    <t>Cyp7b1</t>
  </si>
  <si>
    <t>Slc22a7</t>
  </si>
  <si>
    <t>Piel</t>
  </si>
  <si>
    <t>Aceite de pescado vs Control</t>
  </si>
  <si>
    <t>estadistico de Wald</t>
  </si>
  <si>
    <t>Enzima, síntesis de fosfolípidos</t>
  </si>
  <si>
    <t>Cadena de transporte electrónico mitocondrial</t>
  </si>
  <si>
    <t>Componente de gotas lipídicas (orgánulo)</t>
  </si>
  <si>
    <t>Enzima, glucolisis</t>
  </si>
  <si>
    <t>Enzima, síntesis de fosfatidilcolina</t>
  </si>
  <si>
    <t>Mitocondria (morfología o energía)</t>
  </si>
  <si>
    <t>Metabolismo de lípidos de cadena larga</t>
  </si>
  <si>
    <t>Mitocondria, transporte de piruvato</t>
  </si>
  <si>
    <t>(predicho: regulación de apoptosis)</t>
  </si>
  <si>
    <t>Proteasa. Inhibe proteolisis. Inmunidad antiviral innata.</t>
  </si>
  <si>
    <t>Peptidasa, biosíntesis de péptidos de señalización (hormonas y neurotransmisores)</t>
  </si>
  <si>
    <t>Movilidad celular</t>
  </si>
  <si>
    <t>Proteína de choque térmico. Biomarcador de estrés celular e inflamación</t>
  </si>
  <si>
    <t>Apoptosis</t>
  </si>
  <si>
    <t>Regulador de inflamación y apoptosis. Biomarcador de activación temprana de inflamación.</t>
  </si>
  <si>
    <t>(?) Cadena de transporte electrónico mitocondrial</t>
  </si>
  <si>
    <t>Metabolismo de lípidos</t>
  </si>
  <si>
    <t>Enzima, pentosas fosfato</t>
  </si>
  <si>
    <t>Mitocondria</t>
  </si>
  <si>
    <t>Metabolismo lactato</t>
  </si>
  <si>
    <t>IEG. Fosfatasa, regulador de proliferación celular</t>
  </si>
  <si>
    <t>IEG. Adhesión de células endoteliales</t>
  </si>
  <si>
    <t>IEG. Receptor de membrana. Unión a heparina</t>
  </si>
  <si>
    <t>Enzima, metabolismo triglicéridos</t>
  </si>
  <si>
    <t>Diferenciación de adipocitos</t>
  </si>
  <si>
    <t>Receptor adrenérgico, metabolismo de lípidos</t>
  </si>
  <si>
    <t>Adhesión celular</t>
  </si>
  <si>
    <t>Ciclo de Krebs</t>
  </si>
  <si>
    <t>IEG. Regulador de proliferación y diferenciación celular</t>
  </si>
  <si>
    <t>Gluconeogénesis</t>
  </si>
  <si>
    <t>(predicho: homeostasis de glucosa, diferenciación celular)</t>
  </si>
  <si>
    <t>IEG. Diferenciación celular</t>
  </si>
  <si>
    <t>Eliminación de radicales libres (superóxido dismutasa)</t>
  </si>
  <si>
    <t>(quizá adhesión celular)</t>
  </si>
  <si>
    <t>IEG. Regulador de proliferación celular</t>
  </si>
  <si>
    <t>Enzima, metabolismo carbohidratos y lípidos</t>
  </si>
  <si>
    <t>(posible protección frente a inflamación)</t>
  </si>
  <si>
    <t>Metabolismo lipídico, homeostasis energética.</t>
  </si>
  <si>
    <t>Inhibición de división celular</t>
  </si>
  <si>
    <t>Metabolismo de carbohidratos</t>
  </si>
  <si>
    <t>Señalización mTOR</t>
  </si>
  <si>
    <t>Eliminación de radicales libres (glutation peroxidasa)</t>
  </si>
  <si>
    <t>(?) MAPK, respuesta a estrés</t>
  </si>
  <si>
    <t>(predicho: regulación termogénesis, homeostasis de glucosa)</t>
  </si>
  <si>
    <t>FDR &lt; 0.05</t>
  </si>
  <si>
    <t>|log2FC| &gt; 0.585</t>
  </si>
  <si>
    <t>(predicho: señalización)</t>
  </si>
  <si>
    <t>Enzima, piruvato</t>
  </si>
  <si>
    <t>IEG</t>
  </si>
  <si>
    <t>(predicho: señalización Notch)</t>
  </si>
  <si>
    <t>(Cytokine-like protein)</t>
  </si>
  <si>
    <t>Receptor PPAR. Diferenciación celular</t>
  </si>
  <si>
    <t>(Predicho: Receptor de insulina. Regulación del metabolismo)</t>
  </si>
  <si>
    <t>Detoxificación de metabolitos de nucleótidos</t>
  </si>
  <si>
    <t>Carboxil esterasa</t>
  </si>
  <si>
    <t>Metabolismo de Ara</t>
  </si>
  <si>
    <t>Monooxigenasa</t>
  </si>
  <si>
    <t>(Predicho: Monooxigenasa, metabolismo de esteroides</t>
  </si>
  <si>
    <t>Endocitosis y JAK-STAT. Respuesta a bacterias</t>
  </si>
  <si>
    <t>Sulfotransferasa</t>
  </si>
  <si>
    <t>(Predicho: Metabolismo de lípidos)</t>
  </si>
  <si>
    <t>Metabolismo de colesterol a sales biliares</t>
  </si>
  <si>
    <t>Transporte transmembrana de a-cetoglutarato y prostaglandinas</t>
  </si>
  <si>
    <t>Proteína de choque térmico. Biomarcador de patogenicidad (e.g. tumor)</t>
  </si>
  <si>
    <t>(Translocación en retículo endoplásmico y hacia membrana)</t>
  </si>
  <si>
    <t>.</t>
  </si>
  <si>
    <t>FDR &lt; 0.1</t>
  </si>
  <si>
    <t>GAB2</t>
  </si>
  <si>
    <t>0.054 (*)</t>
  </si>
  <si>
    <t>TRPS1</t>
  </si>
  <si>
    <t>0.061 (*)</t>
  </si>
  <si>
    <t>TC2N</t>
  </si>
  <si>
    <t>HDAC9</t>
  </si>
  <si>
    <t>0.072 (*)</t>
  </si>
  <si>
    <t>AC093423.3</t>
  </si>
  <si>
    <t>0.075 (*)</t>
  </si>
  <si>
    <t>ABI1</t>
  </si>
  <si>
    <t>0.079 (*)</t>
  </si>
  <si>
    <t>BID</t>
  </si>
  <si>
    <t>0.085 (*)</t>
  </si>
  <si>
    <t>RALGAPA2</t>
  </si>
  <si>
    <t>CDC14A</t>
  </si>
  <si>
    <t>0.093 (*)</t>
  </si>
  <si>
    <t>LRBA</t>
  </si>
  <si>
    <t>Adaptador para múltiples vías de señalización inflamatoria. Respuesta a citoquinas y receptores B y C</t>
  </si>
  <si>
    <t>Inmunometabolismo. Regula metabolismo energético, respuestas inflamatorias, división celular</t>
  </si>
  <si>
    <t>Regulación metabólica de insulina en células b pancreáticas. Linfocitos T, modula proliferación celular</t>
  </si>
  <si>
    <t>Citoquinesis. Importante en neuroinflamación</t>
  </si>
  <si>
    <t>Linfocitos B. Inmunometabolismo, autoinmunidad y respuesta inmune intestinal</t>
  </si>
  <si>
    <t>Deacetilación de histonas.  Impulsa inflamación vascular. Vinculado a desórdenes metabólicos y cardiovasculares</t>
  </si>
  <si>
    <t>Promueve inflamación del sistema nervioso central y metabólica (obesidad)</t>
  </si>
  <si>
    <t>Regulación inmune, autoinmunidad y presentación de antígenos</t>
  </si>
  <si>
    <t>Citoesqueleto, responde a inflamación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</si>
</sst>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mediumDashed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/>
    <xf numFmtId="0" fontId="0" fillId="4" borderId="0" xfId="0" applyFill="1" applyAlignment="1">
      <alignment wrapText="1"/>
    </xf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3" borderId="0" xfId="0" applyFont="1" applyFill="1"/>
    <xf numFmtId="0" fontId="1" fillId="5" borderId="0" xfId="0" applyFont="1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7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14"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CF31-D87D-4C4A-944A-88899C17A0C0}">
  <dimension ref="A1:T52"/>
  <sheetViews>
    <sheetView tabSelected="1" topLeftCell="B1" zoomScale="70" zoomScaleNormal="70" workbookViewId="0">
      <selection activeCell="L4" sqref="L4:R19"/>
    </sheetView>
  </sheetViews>
  <sheetFormatPr baseColWidth="10" defaultRowHeight="14.4" x14ac:dyDescent="0.3"/>
  <cols>
    <col min="2" max="2" width="15.109375" bestFit="1" customWidth="1"/>
    <col min="4" max="4" width="13.6640625" bestFit="1" customWidth="1"/>
    <col min="5" max="5" width="13.6640625" customWidth="1"/>
    <col min="6" max="6" width="6.88671875" bestFit="1" customWidth="1"/>
    <col min="7" max="7" width="8" bestFit="1" customWidth="1"/>
  </cols>
  <sheetData>
    <row r="1" spans="1:20" x14ac:dyDescent="0.3">
      <c r="A1" s="2" t="s">
        <v>369</v>
      </c>
      <c r="B1" s="2" t="s">
        <v>21</v>
      </c>
      <c r="C1" s="2" t="s">
        <v>22</v>
      </c>
      <c r="D1" t="s">
        <v>18</v>
      </c>
      <c r="E1">
        <f>COUNT(C5:C9)</f>
        <v>5</v>
      </c>
      <c r="G1" s="2" t="s">
        <v>440</v>
      </c>
      <c r="J1" s="17"/>
      <c r="L1" s="2" t="s">
        <v>369</v>
      </c>
      <c r="M1" s="2" t="s">
        <v>21</v>
      </c>
      <c r="N1" s="2" t="s">
        <v>22</v>
      </c>
      <c r="O1" t="s">
        <v>18</v>
      </c>
      <c r="P1">
        <f>COUNT(N5:N200)</f>
        <v>15</v>
      </c>
      <c r="R1" s="19" t="s">
        <v>462</v>
      </c>
    </row>
    <row r="2" spans="1:20" x14ac:dyDescent="0.3">
      <c r="A2" t="s">
        <v>19</v>
      </c>
      <c r="B2" s="2" t="s">
        <v>394</v>
      </c>
      <c r="C2" s="2"/>
      <c r="D2" t="s">
        <v>0</v>
      </c>
      <c r="E2">
        <f>COUNTIF(C5:C324,"&gt;0")</f>
        <v>1</v>
      </c>
      <c r="G2" s="2" t="s">
        <v>441</v>
      </c>
      <c r="J2" s="17"/>
      <c r="L2" t="s">
        <v>19</v>
      </c>
      <c r="M2" s="2" t="s">
        <v>394</v>
      </c>
      <c r="N2" s="2"/>
      <c r="O2" t="s">
        <v>0</v>
      </c>
      <c r="P2">
        <f>COUNTIF(N5:N324,"&gt;0")</f>
        <v>2</v>
      </c>
      <c r="R2" s="2" t="s">
        <v>441</v>
      </c>
    </row>
    <row r="3" spans="1:20" x14ac:dyDescent="0.3">
      <c r="A3" t="s">
        <v>20</v>
      </c>
      <c r="B3" s="2" t="s">
        <v>1</v>
      </c>
      <c r="C3" s="2"/>
      <c r="D3" t="s">
        <v>2</v>
      </c>
      <c r="E3">
        <f>COUNTIF(C5:C324,"&lt;0")</f>
        <v>4</v>
      </c>
      <c r="J3" s="17"/>
      <c r="L3" t="s">
        <v>20</v>
      </c>
      <c r="M3" s="2" t="s">
        <v>1</v>
      </c>
      <c r="N3" s="2"/>
      <c r="O3" t="s">
        <v>2</v>
      </c>
      <c r="P3">
        <f>COUNTIF(N5:N324,"&lt;0")</f>
        <v>13</v>
      </c>
    </row>
    <row r="4" spans="1:20" s="1" customFormat="1" ht="57.6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395</v>
      </c>
      <c r="F4" s="5" t="s">
        <v>7</v>
      </c>
      <c r="G4" s="5" t="s">
        <v>8</v>
      </c>
      <c r="H4" s="7"/>
      <c r="I4" s="7"/>
      <c r="J4" s="18"/>
      <c r="L4" s="5" t="s">
        <v>3</v>
      </c>
      <c r="M4" s="5" t="s">
        <v>4</v>
      </c>
      <c r="N4" s="5" t="s">
        <v>5</v>
      </c>
      <c r="O4" s="5" t="s">
        <v>6</v>
      </c>
      <c r="P4" s="5" t="s">
        <v>395</v>
      </c>
      <c r="Q4" s="5" t="s">
        <v>7</v>
      </c>
      <c r="R4" s="5" t="s">
        <v>8</v>
      </c>
      <c r="S4" s="7"/>
      <c r="T4" s="7"/>
    </row>
    <row r="5" spans="1:20" x14ac:dyDescent="0.3">
      <c r="A5" s="6" t="s">
        <v>11</v>
      </c>
      <c r="B5" s="6">
        <v>15.9</v>
      </c>
      <c r="C5" s="6">
        <v>-0.63400000000000001</v>
      </c>
      <c r="D5" s="6">
        <v>0.15</v>
      </c>
      <c r="E5" s="6">
        <v>-4.13</v>
      </c>
      <c r="F5" s="6" t="s">
        <v>9</v>
      </c>
      <c r="G5" s="6" t="s">
        <v>10</v>
      </c>
      <c r="H5" s="22" t="s">
        <v>483</v>
      </c>
      <c r="I5" s="6"/>
      <c r="J5" s="17"/>
      <c r="K5" t="s">
        <v>461</v>
      </c>
      <c r="L5" s="6" t="s">
        <v>11</v>
      </c>
      <c r="M5" s="6">
        <v>15.9</v>
      </c>
      <c r="N5" s="6">
        <v>-0.63400000000000001</v>
      </c>
      <c r="O5" s="6">
        <v>0.15</v>
      </c>
      <c r="P5" s="6">
        <v>-4.13</v>
      </c>
      <c r="Q5" s="6" t="s">
        <v>9</v>
      </c>
      <c r="R5" s="6" t="s">
        <v>10</v>
      </c>
      <c r="S5" s="22" t="s">
        <v>483</v>
      </c>
      <c r="T5" s="6"/>
    </row>
    <row r="6" spans="1:20" x14ac:dyDescent="0.3">
      <c r="A6" s="3" t="s">
        <v>15</v>
      </c>
      <c r="B6" s="3">
        <v>8.1999999999999993</v>
      </c>
      <c r="C6" s="3">
        <v>0.77</v>
      </c>
      <c r="D6" s="3">
        <v>0.21</v>
      </c>
      <c r="E6" s="3">
        <v>3.61</v>
      </c>
      <c r="F6" s="3" t="s">
        <v>9</v>
      </c>
      <c r="G6" s="3" t="s">
        <v>13</v>
      </c>
      <c r="H6" s="3" t="s">
        <v>460</v>
      </c>
      <c r="I6" s="3"/>
      <c r="J6" s="17"/>
      <c r="K6" t="s">
        <v>461</v>
      </c>
      <c r="L6" s="3" t="s">
        <v>15</v>
      </c>
      <c r="M6" s="3">
        <v>8.1999999999999993</v>
      </c>
      <c r="N6" s="3">
        <v>0.77</v>
      </c>
      <c r="O6" s="3">
        <v>0.21</v>
      </c>
      <c r="P6" s="3">
        <v>3.61</v>
      </c>
      <c r="Q6" s="3" t="s">
        <v>9</v>
      </c>
      <c r="R6" s="3" t="s">
        <v>13</v>
      </c>
      <c r="S6" s="3" t="s">
        <v>460</v>
      </c>
      <c r="T6" s="3"/>
    </row>
    <row r="7" spans="1:20" x14ac:dyDescent="0.3">
      <c r="A7" s="6" t="s">
        <v>12</v>
      </c>
      <c r="B7" s="6">
        <v>10.5</v>
      </c>
      <c r="C7" s="6">
        <v>-0.71</v>
      </c>
      <c r="D7" s="6">
        <v>0.2</v>
      </c>
      <c r="E7" s="6">
        <v>-3.58</v>
      </c>
      <c r="F7" s="6" t="s">
        <v>9</v>
      </c>
      <c r="G7" s="6" t="s">
        <v>13</v>
      </c>
      <c r="H7" s="20" t="s">
        <v>484</v>
      </c>
      <c r="I7" s="6"/>
      <c r="J7" s="17"/>
      <c r="K7" t="s">
        <v>461</v>
      </c>
      <c r="L7" s="6" t="s">
        <v>12</v>
      </c>
      <c r="M7" s="6">
        <v>10.5</v>
      </c>
      <c r="N7" s="6">
        <v>-0.71</v>
      </c>
      <c r="O7" s="6">
        <v>0.2</v>
      </c>
      <c r="P7" s="6">
        <v>-3.58</v>
      </c>
      <c r="Q7" s="6" t="s">
        <v>9</v>
      </c>
      <c r="R7" s="6" t="s">
        <v>13</v>
      </c>
      <c r="S7" s="20" t="s">
        <v>484</v>
      </c>
      <c r="T7" s="6"/>
    </row>
    <row r="8" spans="1:20" x14ac:dyDescent="0.3">
      <c r="A8" s="6" t="s">
        <v>14</v>
      </c>
      <c r="B8" s="6">
        <v>9.61</v>
      </c>
      <c r="C8" s="6">
        <v>-0.74299999999999999</v>
      </c>
      <c r="D8" s="6">
        <v>0.21</v>
      </c>
      <c r="E8" s="6">
        <v>-3.56</v>
      </c>
      <c r="F8" s="6" t="s">
        <v>9</v>
      </c>
      <c r="G8" s="6" t="s">
        <v>13</v>
      </c>
      <c r="H8" s="6" t="s">
        <v>482</v>
      </c>
      <c r="I8" s="6"/>
      <c r="J8" s="17"/>
      <c r="K8" t="s">
        <v>461</v>
      </c>
      <c r="L8" s="6" t="s">
        <v>14</v>
      </c>
      <c r="M8" s="6">
        <v>9.61</v>
      </c>
      <c r="N8" s="6">
        <v>-0.74299999999999999</v>
      </c>
      <c r="O8" s="6">
        <v>0.21</v>
      </c>
      <c r="P8" s="6">
        <v>-3.56</v>
      </c>
      <c r="Q8" s="6" t="s">
        <v>9</v>
      </c>
      <c r="R8" s="6" t="s">
        <v>13</v>
      </c>
      <c r="S8" s="6" t="s">
        <v>482</v>
      </c>
      <c r="T8" s="6"/>
    </row>
    <row r="9" spans="1:20" x14ac:dyDescent="0.3">
      <c r="A9" s="6" t="s">
        <v>16</v>
      </c>
      <c r="B9" s="6">
        <v>11.5</v>
      </c>
      <c r="C9" s="6">
        <v>-0.65600000000000003</v>
      </c>
      <c r="D9" s="6">
        <v>0.18</v>
      </c>
      <c r="E9" s="6">
        <v>-3.61</v>
      </c>
      <c r="F9" s="6" t="s">
        <v>9</v>
      </c>
      <c r="G9" s="6" t="s">
        <v>13</v>
      </c>
      <c r="H9" s="20" t="s">
        <v>481</v>
      </c>
      <c r="I9" s="6"/>
      <c r="J9" s="17"/>
      <c r="K9" t="s">
        <v>461</v>
      </c>
      <c r="L9" s="6" t="s">
        <v>16</v>
      </c>
      <c r="M9" s="6">
        <v>11.5</v>
      </c>
      <c r="N9" s="6">
        <v>-0.65600000000000003</v>
      </c>
      <c r="O9" s="6">
        <v>0.18</v>
      </c>
      <c r="P9" s="6">
        <v>-3.61</v>
      </c>
      <c r="Q9" s="6" t="s">
        <v>9</v>
      </c>
      <c r="R9" s="6" t="s">
        <v>13</v>
      </c>
      <c r="S9" s="20" t="s">
        <v>481</v>
      </c>
      <c r="T9" s="6"/>
    </row>
    <row r="10" spans="1:20" x14ac:dyDescent="0.3">
      <c r="J10" s="17"/>
      <c r="L10" s="6" t="s">
        <v>463</v>
      </c>
      <c r="M10" s="6">
        <v>12.6</v>
      </c>
      <c r="N10" s="6">
        <v>-0.628</v>
      </c>
      <c r="O10" s="6">
        <v>0.18</v>
      </c>
      <c r="P10" s="6">
        <v>-3.43</v>
      </c>
      <c r="Q10" s="6" t="s">
        <v>9</v>
      </c>
      <c r="R10" s="6" t="s">
        <v>464</v>
      </c>
      <c r="S10" s="20" t="s">
        <v>480</v>
      </c>
      <c r="T10" s="6"/>
    </row>
    <row r="11" spans="1:20" x14ac:dyDescent="0.3">
      <c r="J11" s="17"/>
      <c r="L11" s="6" t="s">
        <v>465</v>
      </c>
      <c r="M11" s="6">
        <v>9.3699999999999992</v>
      </c>
      <c r="N11" s="6">
        <v>-0.72499999999999998</v>
      </c>
      <c r="O11" s="6">
        <v>0.22</v>
      </c>
      <c r="P11" s="6">
        <v>-3.32</v>
      </c>
      <c r="Q11" s="6" t="s">
        <v>9</v>
      </c>
      <c r="R11" s="6" t="s">
        <v>466</v>
      </c>
      <c r="S11" s="6" t="s">
        <v>25</v>
      </c>
      <c r="T11" s="6"/>
    </row>
    <row r="12" spans="1:20" x14ac:dyDescent="0.3">
      <c r="J12" s="17"/>
      <c r="L12" s="6" t="s">
        <v>467</v>
      </c>
      <c r="M12" s="6">
        <v>9.14</v>
      </c>
      <c r="N12" s="6">
        <v>-0.78400000000000003</v>
      </c>
      <c r="O12" s="6">
        <v>0.24</v>
      </c>
      <c r="P12" s="6">
        <v>-3.32</v>
      </c>
      <c r="Q12" s="6" t="s">
        <v>9</v>
      </c>
      <c r="R12" s="6" t="s">
        <v>466</v>
      </c>
      <c r="S12" s="6" t="s">
        <v>25</v>
      </c>
      <c r="T12" s="6"/>
    </row>
    <row r="13" spans="1:20" x14ac:dyDescent="0.3">
      <c r="J13" s="17"/>
      <c r="L13" s="6" t="s">
        <v>468</v>
      </c>
      <c r="M13" s="6">
        <v>8.8699999999999992</v>
      </c>
      <c r="N13" s="6">
        <v>-0.70099999999999996</v>
      </c>
      <c r="O13" s="6">
        <v>0.22</v>
      </c>
      <c r="P13" s="6">
        <v>-3.26</v>
      </c>
      <c r="Q13" s="6">
        <v>1E-3</v>
      </c>
      <c r="R13" s="6" t="s">
        <v>469</v>
      </c>
      <c r="S13" s="20" t="s">
        <v>485</v>
      </c>
      <c r="T13" s="6"/>
    </row>
    <row r="14" spans="1:20" x14ac:dyDescent="0.3">
      <c r="J14" s="17"/>
      <c r="L14" s="6" t="s">
        <v>470</v>
      </c>
      <c r="M14" s="6">
        <v>8.7799999999999994</v>
      </c>
      <c r="N14" s="6">
        <v>-0.71599999999999997</v>
      </c>
      <c r="O14" s="6">
        <v>0.22</v>
      </c>
      <c r="P14" s="6">
        <v>-3.21</v>
      </c>
      <c r="Q14" s="6">
        <v>1E-3</v>
      </c>
      <c r="R14" s="6" t="s">
        <v>471</v>
      </c>
      <c r="S14" s="6" t="s">
        <v>25</v>
      </c>
      <c r="T14" s="6"/>
    </row>
    <row r="15" spans="1:20" x14ac:dyDescent="0.3">
      <c r="J15" s="17"/>
      <c r="L15" s="6" t="s">
        <v>472</v>
      </c>
      <c r="M15" s="6">
        <v>10.7</v>
      </c>
      <c r="N15" s="6">
        <v>-0.59799999999999998</v>
      </c>
      <c r="O15" s="6">
        <v>0.19</v>
      </c>
      <c r="P15" s="6">
        <v>-3.14</v>
      </c>
      <c r="Q15" s="6">
        <v>2E-3</v>
      </c>
      <c r="R15" s="6" t="s">
        <v>473</v>
      </c>
      <c r="S15" s="6" t="s">
        <v>488</v>
      </c>
      <c r="T15" s="6"/>
    </row>
    <row r="16" spans="1:20" x14ac:dyDescent="0.3">
      <c r="J16" s="17"/>
      <c r="L16" s="3" t="s">
        <v>474</v>
      </c>
      <c r="M16" s="3">
        <v>11.5</v>
      </c>
      <c r="N16" s="3">
        <v>0.61399999999999999</v>
      </c>
      <c r="O16" s="3">
        <v>0.2</v>
      </c>
      <c r="P16" s="3">
        <v>3.09</v>
      </c>
      <c r="Q16" s="3">
        <v>2E-3</v>
      </c>
      <c r="R16" s="3" t="s">
        <v>475</v>
      </c>
      <c r="S16" s="21" t="s">
        <v>486</v>
      </c>
      <c r="T16" s="3"/>
    </row>
    <row r="17" spans="10:20" x14ac:dyDescent="0.3">
      <c r="J17" s="17"/>
      <c r="L17" s="6" t="s">
        <v>476</v>
      </c>
      <c r="M17" s="6">
        <v>10.199999999999999</v>
      </c>
      <c r="N17" s="6">
        <v>-0.61099999999999999</v>
      </c>
      <c r="O17" s="6">
        <v>0.2</v>
      </c>
      <c r="P17" s="6">
        <v>-3.1</v>
      </c>
      <c r="Q17" s="6">
        <v>2E-3</v>
      </c>
      <c r="R17" s="6" t="s">
        <v>475</v>
      </c>
      <c r="S17" s="6" t="s">
        <v>25</v>
      </c>
      <c r="T17" s="6"/>
    </row>
    <row r="18" spans="10:20" x14ac:dyDescent="0.3">
      <c r="J18" s="17"/>
      <c r="L18" s="6" t="s">
        <v>477</v>
      </c>
      <c r="M18" s="6">
        <v>8.0299999999999994</v>
      </c>
      <c r="N18" s="6">
        <v>-0.76300000000000001</v>
      </c>
      <c r="O18" s="6">
        <v>0.26</v>
      </c>
      <c r="P18" s="6">
        <v>-2.98</v>
      </c>
      <c r="Q18" s="6">
        <v>3.0000000000000001E-3</v>
      </c>
      <c r="R18" s="6" t="s">
        <v>478</v>
      </c>
      <c r="S18" s="6" t="s">
        <v>25</v>
      </c>
      <c r="T18" s="6"/>
    </row>
    <row r="19" spans="10:20" x14ac:dyDescent="0.3">
      <c r="J19" s="17"/>
      <c r="L19" s="6" t="s">
        <v>479</v>
      </c>
      <c r="M19" s="6">
        <v>9.11</v>
      </c>
      <c r="N19" s="6">
        <v>-0.72299999999999998</v>
      </c>
      <c r="O19" s="6">
        <v>0.24</v>
      </c>
      <c r="P19" s="6">
        <v>-2.99</v>
      </c>
      <c r="Q19" s="6">
        <v>3.0000000000000001E-3</v>
      </c>
      <c r="R19" s="6" t="s">
        <v>478</v>
      </c>
      <c r="S19" s="20" t="s">
        <v>487</v>
      </c>
      <c r="T19" s="6"/>
    </row>
    <row r="20" spans="10:20" x14ac:dyDescent="0.3">
      <c r="J20" s="17"/>
    </row>
    <row r="21" spans="10:20" x14ac:dyDescent="0.3">
      <c r="J21" s="17"/>
    </row>
    <row r="22" spans="10:20" x14ac:dyDescent="0.3">
      <c r="J22" s="17"/>
    </row>
    <row r="23" spans="10:20" x14ac:dyDescent="0.3">
      <c r="J23" s="17"/>
    </row>
    <row r="24" spans="10:20" x14ac:dyDescent="0.3">
      <c r="J24" s="17"/>
    </row>
    <row r="25" spans="10:20" x14ac:dyDescent="0.3">
      <c r="J25" s="17"/>
    </row>
    <row r="26" spans="10:20" x14ac:dyDescent="0.3">
      <c r="J26" s="17"/>
    </row>
    <row r="27" spans="10:20" x14ac:dyDescent="0.3">
      <c r="J27" s="17"/>
    </row>
    <row r="28" spans="10:20" x14ac:dyDescent="0.3">
      <c r="J28" s="17"/>
    </row>
    <row r="29" spans="10:20" x14ac:dyDescent="0.3">
      <c r="J29" s="17"/>
    </row>
    <row r="30" spans="10:20" x14ac:dyDescent="0.3">
      <c r="J30" s="17"/>
    </row>
    <row r="31" spans="10:20" x14ac:dyDescent="0.3">
      <c r="J31" s="17"/>
    </row>
    <row r="32" spans="10:20" x14ac:dyDescent="0.3">
      <c r="J32" s="17"/>
    </row>
    <row r="33" spans="10:10" x14ac:dyDescent="0.3">
      <c r="J33" s="17"/>
    </row>
    <row r="34" spans="10:10" x14ac:dyDescent="0.3">
      <c r="J34" s="17"/>
    </row>
    <row r="35" spans="10:10" x14ac:dyDescent="0.3">
      <c r="J35" s="17"/>
    </row>
    <row r="36" spans="10:10" x14ac:dyDescent="0.3">
      <c r="J36" s="17"/>
    </row>
    <row r="37" spans="10:10" x14ac:dyDescent="0.3">
      <c r="J37" s="17"/>
    </row>
    <row r="38" spans="10:10" x14ac:dyDescent="0.3">
      <c r="J38" s="17"/>
    </row>
    <row r="39" spans="10:10" x14ac:dyDescent="0.3">
      <c r="J39" s="17"/>
    </row>
    <row r="40" spans="10:10" x14ac:dyDescent="0.3">
      <c r="J40" s="17"/>
    </row>
    <row r="41" spans="10:10" x14ac:dyDescent="0.3">
      <c r="J41" s="17"/>
    </row>
    <row r="42" spans="10:10" x14ac:dyDescent="0.3">
      <c r="J42" s="17"/>
    </row>
    <row r="43" spans="10:10" x14ac:dyDescent="0.3">
      <c r="J43" s="17"/>
    </row>
    <row r="44" spans="10:10" x14ac:dyDescent="0.3">
      <c r="J44" s="17"/>
    </row>
    <row r="45" spans="10:10" x14ac:dyDescent="0.3">
      <c r="J45" s="17"/>
    </row>
    <row r="46" spans="10:10" x14ac:dyDescent="0.3">
      <c r="J46" s="17"/>
    </row>
    <row r="47" spans="10:10" x14ac:dyDescent="0.3">
      <c r="J47" s="17"/>
    </row>
    <row r="48" spans="10:10" x14ac:dyDescent="0.3">
      <c r="J48" s="17"/>
    </row>
    <row r="49" spans="10:10" x14ac:dyDescent="0.3">
      <c r="J49" s="17"/>
    </row>
    <row r="50" spans="10:10" x14ac:dyDescent="0.3">
      <c r="J50" s="17"/>
    </row>
    <row r="51" spans="10:10" x14ac:dyDescent="0.3">
      <c r="J51" s="17"/>
    </row>
    <row r="52" spans="10:10" x14ac:dyDescent="0.3">
      <c r="J52" s="17"/>
    </row>
  </sheetData>
  <phoneticPr fontId="2" type="noConversion"/>
  <conditionalFormatting sqref="A5:I5">
    <cfRule type="expression" dxfId="13" priority="8">
      <formula>OR( AND(ESNUM($C1048557),$C1048557&lt;0), AND(ES.TEXTO($C1048557),LEFT($C1048557,1)="-") )</formula>
    </cfRule>
  </conditionalFormatting>
  <conditionalFormatting sqref="A5:I9">
    <cfRule type="expression" dxfId="12" priority="1">
      <formula>OR( AND(ESNUM($C5),$C5&lt;0), AND(ES.TEXTO($C5),LEFT($C5,1)="-") )</formula>
    </cfRule>
  </conditionalFormatting>
  <conditionalFormatting sqref="A7:I7">
    <cfRule type="expression" dxfId="11" priority="6">
      <formula>OR( AND(ESNUM($C1048560),$C1048560&lt;0), AND(ES.TEXTO($C1048560),LEFT($C1048560,1)="-") )</formula>
    </cfRule>
  </conditionalFormatting>
  <conditionalFormatting sqref="A8:I8">
    <cfRule type="expression" dxfId="10" priority="4">
      <formula>OR( AND(ESNUM($C1048562),$C1048562&lt;0), AND(ES.TEXTO($C1048562),LEFT($C1048562,1)="-") )</formula>
    </cfRule>
  </conditionalFormatting>
  <conditionalFormatting sqref="A9:I9">
    <cfRule type="expression" dxfId="9" priority="2">
      <formula>OR( AND(ESNUM($C1048564),$C1048564&lt;0), AND(ES.TEXTO($C1048564),LEFT($C1048564,1)="-") )</formula>
    </cfRule>
  </conditionalFormatting>
  <conditionalFormatting sqref="K5:K6 A6:I6">
    <cfRule type="expression" dxfId="8" priority="46">
      <formula>OR( AND(ESNUM($C1048562),$C1048562&lt;0), AND(ES.TEXTO($C1048562),LEFT($C1048562,1)="-") )</formula>
    </cfRule>
  </conditionalFormatting>
  <conditionalFormatting sqref="K5:T9">
    <cfRule type="expression" dxfId="7" priority="13">
      <formula>OR( AND(ESNUM($C5),$C5&lt;0), AND(ES.TEXTO($C5),LEFT($C5,1)="-") )</formula>
    </cfRule>
  </conditionalFormatting>
  <conditionalFormatting sqref="K7:T7">
    <cfRule type="expression" dxfId="6" priority="18">
      <formula>OR( AND(ESNUM($C1048560),$C1048560&lt;0), AND(ES.TEXTO($C1048560),LEFT($C1048560,1)="-") )</formula>
    </cfRule>
  </conditionalFormatting>
  <conditionalFormatting sqref="K8:T8">
    <cfRule type="expression" dxfId="5" priority="16">
      <formula>OR( AND(ESNUM($C1048562),$C1048562&lt;0), AND(ES.TEXTO($C1048562),LEFT($C1048562,1)="-") )</formula>
    </cfRule>
  </conditionalFormatting>
  <conditionalFormatting sqref="K9:T9">
    <cfRule type="expression" dxfId="4" priority="14">
      <formula>OR( AND(ESNUM($C1048564),$C1048564&lt;0), AND(ES.TEXTO($C1048564),LEFT($C1048564,1)="-") )</formula>
    </cfRule>
  </conditionalFormatting>
  <conditionalFormatting sqref="L5:T5">
    <cfRule type="expression" dxfId="3" priority="20">
      <formula>OR( AND(ESNUM($C1048557),$C1048557&lt;0), AND(ES.TEXTO($C1048557),LEFT($C1048557,1)="-") )</formula>
    </cfRule>
  </conditionalFormatting>
  <conditionalFormatting sqref="L6:T6">
    <cfRule type="expression" dxfId="2" priority="22">
      <formula>OR( AND(ESNUM($C1048563),$C1048563&lt;0), AND(ES.TEXTO($C1048563),LEFT($C1048563,1)="-") )</formula>
    </cfRule>
  </conditionalFormatting>
  <conditionalFormatting sqref="S16:T16">
    <cfRule type="expression" dxfId="1" priority="9">
      <formula>OR( AND(ESNUM($C16),$C16&lt;0), AND(ES.TEXTO($C16),LEFT($C16,1)="-") )</formula>
    </cfRule>
    <cfRule type="expression" dxfId="0" priority="10">
      <formula>OR( AND(ESNUM($C1048573),$C1048573&lt;0), AND(ES.TEXTO($C1048573),LEFT($C1048573,1)="-") 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A0A6-41D9-4BFB-8C5A-3A945E54D5A0}">
  <dimension ref="A1:AC282"/>
  <sheetViews>
    <sheetView zoomScale="70" zoomScaleNormal="70" workbookViewId="0">
      <selection activeCell="K4" sqref="K4:Q113"/>
    </sheetView>
  </sheetViews>
  <sheetFormatPr baseColWidth="10" defaultRowHeight="14.4" x14ac:dyDescent="0.3"/>
  <cols>
    <col min="1" max="1" width="16" customWidth="1"/>
    <col min="2" max="2" width="15.109375" bestFit="1" customWidth="1"/>
    <col min="3" max="3" width="7.6640625" bestFit="1" customWidth="1"/>
    <col min="4" max="4" width="14.77734375" bestFit="1" customWidth="1"/>
    <col min="5" max="5" width="14.77734375" customWidth="1"/>
    <col min="7" max="7" width="13.33203125" bestFit="1" customWidth="1"/>
    <col min="11" max="11" width="15.88671875" customWidth="1"/>
    <col min="12" max="12" width="15.109375" bestFit="1" customWidth="1"/>
    <col min="13" max="13" width="8" bestFit="1" customWidth="1"/>
    <col min="14" max="14" width="13.6640625" bestFit="1" customWidth="1"/>
    <col min="15" max="15" width="13.6640625" customWidth="1"/>
    <col min="16" max="16" width="7.88671875" bestFit="1" customWidth="1"/>
    <col min="17" max="17" width="13.33203125" bestFit="1" customWidth="1"/>
    <col min="21" max="21" width="11.6640625" bestFit="1" customWidth="1"/>
    <col min="22" max="22" width="18" bestFit="1" customWidth="1"/>
    <col min="24" max="24" width="14.6640625" bestFit="1" customWidth="1"/>
    <col min="25" max="25" width="14.6640625" customWidth="1"/>
    <col min="26" max="26" width="6.88671875" bestFit="1" customWidth="1"/>
    <col min="27" max="27" width="7.88671875" bestFit="1" customWidth="1"/>
  </cols>
  <sheetData>
    <row r="1" spans="1:29" x14ac:dyDescent="0.3">
      <c r="A1" s="2" t="s">
        <v>373</v>
      </c>
      <c r="B1" s="2" t="s">
        <v>370</v>
      </c>
      <c r="C1" s="2" t="s">
        <v>371</v>
      </c>
      <c r="D1" t="s">
        <v>18</v>
      </c>
      <c r="E1">
        <f>COUNT(C5:C500)</f>
        <v>278</v>
      </c>
      <c r="G1" s="2" t="s">
        <v>440</v>
      </c>
      <c r="K1" s="2" t="s">
        <v>373</v>
      </c>
      <c r="L1" s="2" t="s">
        <v>370</v>
      </c>
      <c r="M1" s="2" t="s">
        <v>371</v>
      </c>
      <c r="N1" t="s">
        <v>18</v>
      </c>
      <c r="O1">
        <f>COUNT(M5:M500)</f>
        <v>109</v>
      </c>
      <c r="Q1" s="2" t="s">
        <v>440</v>
      </c>
      <c r="U1" s="2" t="s">
        <v>373</v>
      </c>
      <c r="V1" s="2" t="s">
        <v>370</v>
      </c>
      <c r="W1" s="2" t="s">
        <v>371</v>
      </c>
      <c r="X1" t="s">
        <v>18</v>
      </c>
      <c r="Y1">
        <f>COUNT(W5:W500)</f>
        <v>0</v>
      </c>
      <c r="AA1" s="2" t="s">
        <v>440</v>
      </c>
    </row>
    <row r="2" spans="1:29" x14ac:dyDescent="0.3">
      <c r="A2" t="s">
        <v>372</v>
      </c>
      <c r="B2" s="2" t="s">
        <v>374</v>
      </c>
      <c r="C2" s="2"/>
      <c r="D2" t="s">
        <v>0</v>
      </c>
      <c r="E2">
        <f>COUNTIF(C5:C500,"&gt;0")</f>
        <v>251</v>
      </c>
      <c r="G2" s="2" t="s">
        <v>441</v>
      </c>
      <c r="K2" t="s">
        <v>372</v>
      </c>
      <c r="L2" s="2" t="s">
        <v>375</v>
      </c>
      <c r="M2" s="2"/>
      <c r="N2" t="s">
        <v>0</v>
      </c>
      <c r="O2">
        <f>COUNTIF(M5:M500,"&gt;0")</f>
        <v>99</v>
      </c>
      <c r="Q2" s="2" t="s">
        <v>441</v>
      </c>
      <c r="U2" t="s">
        <v>372</v>
      </c>
      <c r="V2" s="2" t="s">
        <v>376</v>
      </c>
      <c r="W2" s="2"/>
      <c r="X2" t="s">
        <v>0</v>
      </c>
      <c r="Y2">
        <f>COUNTIF(W5:W500,"&gt;0")</f>
        <v>0</v>
      </c>
      <c r="AA2" s="2" t="s">
        <v>441</v>
      </c>
    </row>
    <row r="3" spans="1:29" x14ac:dyDescent="0.3">
      <c r="A3" t="s">
        <v>20</v>
      </c>
      <c r="B3" s="2" t="s">
        <v>1</v>
      </c>
      <c r="C3" s="2"/>
      <c r="D3" t="s">
        <v>2</v>
      </c>
      <c r="E3">
        <f>COUNTIF(C5:C500,"&lt;0")</f>
        <v>27</v>
      </c>
      <c r="K3" t="s">
        <v>20</v>
      </c>
      <c r="L3" s="2" t="s">
        <v>1</v>
      </c>
      <c r="M3" s="2"/>
      <c r="N3" t="s">
        <v>2</v>
      </c>
      <c r="O3">
        <f>COUNTIF(M5:M500,"&lt;0")</f>
        <v>10</v>
      </c>
      <c r="U3" t="s">
        <v>20</v>
      </c>
      <c r="V3" s="2" t="s">
        <v>1</v>
      </c>
      <c r="W3" s="2"/>
      <c r="X3" t="s">
        <v>2</v>
      </c>
      <c r="Y3">
        <f>COUNTIF(W5:W500,"&lt;0")</f>
        <v>0</v>
      </c>
    </row>
    <row r="4" spans="1:29" s="4" customFormat="1" ht="28.8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395</v>
      </c>
      <c r="F4" s="5" t="s">
        <v>7</v>
      </c>
      <c r="G4" s="5" t="s">
        <v>8</v>
      </c>
      <c r="H4" s="5"/>
      <c r="I4" s="5"/>
      <c r="K4" s="5" t="s">
        <v>3</v>
      </c>
      <c r="L4" s="5" t="s">
        <v>4</v>
      </c>
      <c r="M4" s="5" t="s">
        <v>5</v>
      </c>
      <c r="N4" s="5" t="s">
        <v>6</v>
      </c>
      <c r="O4" s="5" t="s">
        <v>395</v>
      </c>
      <c r="P4" s="5" t="s">
        <v>7</v>
      </c>
      <c r="Q4" s="5" t="s">
        <v>8</v>
      </c>
      <c r="R4" s="5"/>
      <c r="S4" s="5"/>
      <c r="U4" s="5" t="s">
        <v>3</v>
      </c>
      <c r="V4" s="5" t="s">
        <v>4</v>
      </c>
      <c r="W4" s="5" t="s">
        <v>5</v>
      </c>
      <c r="X4" s="5" t="s">
        <v>6</v>
      </c>
      <c r="Y4" s="5" t="s">
        <v>395</v>
      </c>
      <c r="Z4" s="5" t="s">
        <v>7</v>
      </c>
      <c r="AA4" s="5" t="s">
        <v>8</v>
      </c>
      <c r="AB4" s="5"/>
      <c r="AC4" s="5"/>
    </row>
    <row r="5" spans="1:29" x14ac:dyDescent="0.3">
      <c r="A5" s="3" t="s">
        <v>23</v>
      </c>
      <c r="B5" s="3">
        <v>204</v>
      </c>
      <c r="C5" s="3">
        <v>1.1000000000000001</v>
      </c>
      <c r="D5" s="3">
        <v>0.14000000000000001</v>
      </c>
      <c r="E5" s="3">
        <v>7.71</v>
      </c>
      <c r="F5" s="3" t="s">
        <v>9</v>
      </c>
      <c r="G5" s="3" t="s">
        <v>24</v>
      </c>
      <c r="H5" s="10" t="s">
        <v>396</v>
      </c>
      <c r="I5" s="3"/>
      <c r="K5" s="3" t="s">
        <v>23</v>
      </c>
      <c r="L5" s="3">
        <v>200</v>
      </c>
      <c r="M5" s="3">
        <v>1.02</v>
      </c>
      <c r="N5" s="3">
        <v>0.18</v>
      </c>
      <c r="O5" s="3">
        <v>5.53</v>
      </c>
      <c r="P5" s="3" t="s">
        <v>9</v>
      </c>
      <c r="Q5" s="3" t="s">
        <v>24</v>
      </c>
      <c r="R5" s="10" t="s">
        <v>396</v>
      </c>
      <c r="S5" s="3"/>
      <c r="U5" s="8" t="s">
        <v>377</v>
      </c>
      <c r="V5" s="8" t="s">
        <v>25</v>
      </c>
      <c r="W5" s="8"/>
      <c r="X5" s="8" t="s">
        <v>25</v>
      </c>
      <c r="Y5" s="8"/>
      <c r="Z5" s="8" t="s">
        <v>25</v>
      </c>
      <c r="AA5" s="8" t="s">
        <v>25</v>
      </c>
      <c r="AB5" s="8"/>
      <c r="AC5" s="8"/>
    </row>
    <row r="6" spans="1:29" x14ac:dyDescent="0.3">
      <c r="A6" s="13" t="s">
        <v>26</v>
      </c>
      <c r="B6" s="3">
        <v>649</v>
      </c>
      <c r="C6" s="3">
        <v>0.82599999999999996</v>
      </c>
      <c r="D6" s="3">
        <v>0.11</v>
      </c>
      <c r="E6" s="3">
        <v>7.37</v>
      </c>
      <c r="F6" s="3" t="s">
        <v>9</v>
      </c>
      <c r="G6" s="3" t="s">
        <v>24</v>
      </c>
      <c r="H6" s="9" t="s">
        <v>397</v>
      </c>
      <c r="I6" s="3"/>
      <c r="K6" s="3" t="s">
        <v>27</v>
      </c>
      <c r="L6" s="3">
        <v>54</v>
      </c>
      <c r="M6" s="3">
        <v>1.1200000000000001</v>
      </c>
      <c r="N6" s="3">
        <v>0.22</v>
      </c>
      <c r="O6" s="3">
        <v>5.14</v>
      </c>
      <c r="P6" s="3" t="s">
        <v>9</v>
      </c>
      <c r="Q6" s="3" t="s">
        <v>28</v>
      </c>
      <c r="R6" s="10" t="s">
        <v>419</v>
      </c>
      <c r="S6" s="3"/>
    </row>
    <row r="7" spans="1:29" x14ac:dyDescent="0.3">
      <c r="A7" s="3" t="s">
        <v>29</v>
      </c>
      <c r="B7" s="3">
        <v>483</v>
      </c>
      <c r="C7" s="3">
        <v>0.86799999999999999</v>
      </c>
      <c r="D7" s="3">
        <v>0.12</v>
      </c>
      <c r="E7" s="3">
        <v>7.4</v>
      </c>
      <c r="F7" s="3" t="s">
        <v>9</v>
      </c>
      <c r="G7" s="3" t="s">
        <v>24</v>
      </c>
      <c r="H7" s="9" t="s">
        <v>397</v>
      </c>
      <c r="I7" s="3"/>
      <c r="K7" s="3" t="s">
        <v>29</v>
      </c>
      <c r="L7" s="3">
        <v>459</v>
      </c>
      <c r="M7" s="3">
        <v>0.70099999999999996</v>
      </c>
      <c r="N7" s="3">
        <v>0.15</v>
      </c>
      <c r="O7" s="3">
        <v>4.7</v>
      </c>
      <c r="P7" s="3" t="s">
        <v>9</v>
      </c>
      <c r="Q7" s="3" t="s">
        <v>30</v>
      </c>
      <c r="R7" s="9" t="s">
        <v>397</v>
      </c>
      <c r="S7" s="3"/>
    </row>
    <row r="8" spans="1:29" x14ac:dyDescent="0.3">
      <c r="A8" s="3" t="s">
        <v>31</v>
      </c>
      <c r="B8" s="3">
        <v>427</v>
      </c>
      <c r="C8" s="3">
        <v>0.85199999999999998</v>
      </c>
      <c r="D8" s="3">
        <v>0.12</v>
      </c>
      <c r="E8" s="3">
        <v>7.03</v>
      </c>
      <c r="F8" s="3" t="s">
        <v>9</v>
      </c>
      <c r="G8" s="3" t="s">
        <v>24</v>
      </c>
      <c r="H8" s="9" t="s">
        <v>397</v>
      </c>
      <c r="I8" s="3"/>
      <c r="K8" s="3" t="s">
        <v>32</v>
      </c>
      <c r="L8" s="3">
        <v>166</v>
      </c>
      <c r="M8" s="3">
        <v>0.68300000000000005</v>
      </c>
      <c r="N8" s="3">
        <v>0.15</v>
      </c>
      <c r="O8" s="3">
        <v>4.62</v>
      </c>
      <c r="P8" s="3" t="s">
        <v>9</v>
      </c>
      <c r="Q8" s="3" t="s">
        <v>30</v>
      </c>
      <c r="R8" s="9" t="s">
        <v>397</v>
      </c>
      <c r="S8" s="3"/>
    </row>
    <row r="9" spans="1:29" x14ac:dyDescent="0.3">
      <c r="A9" s="3" t="s">
        <v>33</v>
      </c>
      <c r="B9" s="3">
        <v>107</v>
      </c>
      <c r="C9" s="3">
        <v>1.1200000000000001</v>
      </c>
      <c r="D9" s="3">
        <v>0.17</v>
      </c>
      <c r="E9" s="3">
        <v>6.7</v>
      </c>
      <c r="F9" s="3" t="s">
        <v>9</v>
      </c>
      <c r="G9" s="3" t="s">
        <v>24</v>
      </c>
      <c r="H9" s="10" t="s">
        <v>398</v>
      </c>
      <c r="I9" s="3"/>
      <c r="K9" s="3" t="s">
        <v>34</v>
      </c>
      <c r="L9" s="3">
        <v>102</v>
      </c>
      <c r="M9" s="3">
        <v>0.76300000000000001</v>
      </c>
      <c r="N9" s="3">
        <v>0.17</v>
      </c>
      <c r="O9" s="3">
        <v>4.6100000000000003</v>
      </c>
      <c r="P9" s="3" t="s">
        <v>9</v>
      </c>
      <c r="Q9" s="3" t="s">
        <v>30</v>
      </c>
      <c r="R9" s="9" t="s">
        <v>397</v>
      </c>
      <c r="S9" s="3"/>
    </row>
    <row r="10" spans="1:29" x14ac:dyDescent="0.3">
      <c r="A10" s="3" t="s">
        <v>35</v>
      </c>
      <c r="B10" s="3">
        <v>597</v>
      </c>
      <c r="C10" s="3">
        <v>0.86099999999999999</v>
      </c>
      <c r="D10" s="3">
        <v>0.13</v>
      </c>
      <c r="E10" s="3">
        <v>6.51</v>
      </c>
      <c r="F10" s="3" t="s">
        <v>9</v>
      </c>
      <c r="G10" s="3" t="s">
        <v>24</v>
      </c>
      <c r="H10" s="9" t="s">
        <v>397</v>
      </c>
      <c r="I10" s="3"/>
      <c r="K10" s="3" t="s">
        <v>36</v>
      </c>
      <c r="L10" s="3">
        <v>71</v>
      </c>
      <c r="M10" s="3">
        <v>1.23</v>
      </c>
      <c r="N10" s="3">
        <v>0.26</v>
      </c>
      <c r="O10" s="3">
        <v>4.66</v>
      </c>
      <c r="P10" s="3" t="s">
        <v>9</v>
      </c>
      <c r="Q10" s="3" t="s">
        <v>30</v>
      </c>
      <c r="R10" s="11" t="s">
        <v>413</v>
      </c>
      <c r="S10" s="3"/>
    </row>
    <row r="11" spans="1:29" x14ac:dyDescent="0.3">
      <c r="A11" s="3" t="s">
        <v>37</v>
      </c>
      <c r="B11" s="3">
        <v>551</v>
      </c>
      <c r="C11" s="3">
        <v>0.875</v>
      </c>
      <c r="D11" s="3">
        <v>0.14000000000000001</v>
      </c>
      <c r="E11" s="3">
        <v>6.32</v>
      </c>
      <c r="F11" s="3" t="s">
        <v>9</v>
      </c>
      <c r="G11" s="3" t="s">
        <v>24</v>
      </c>
      <c r="H11" s="9" t="s">
        <v>397</v>
      </c>
      <c r="I11" s="3"/>
      <c r="K11" s="3" t="s">
        <v>38</v>
      </c>
      <c r="L11" s="3">
        <v>291</v>
      </c>
      <c r="M11" s="3">
        <v>0.91800000000000004</v>
      </c>
      <c r="N11" s="3">
        <v>0.2</v>
      </c>
      <c r="O11" s="3">
        <v>4.5199999999999996</v>
      </c>
      <c r="P11" s="3" t="s">
        <v>9</v>
      </c>
      <c r="Q11" s="3" t="s">
        <v>30</v>
      </c>
      <c r="R11" s="9" t="s">
        <v>401</v>
      </c>
      <c r="S11" s="3"/>
    </row>
    <row r="12" spans="1:29" x14ac:dyDescent="0.3">
      <c r="A12" s="3" t="s">
        <v>39</v>
      </c>
      <c r="B12" s="3">
        <v>397</v>
      </c>
      <c r="C12" s="3">
        <v>1.0900000000000001</v>
      </c>
      <c r="D12" s="3">
        <v>0.17</v>
      </c>
      <c r="E12" s="3">
        <v>6.23</v>
      </c>
      <c r="F12" s="3" t="s">
        <v>9</v>
      </c>
      <c r="G12" s="3" t="s">
        <v>24</v>
      </c>
      <c r="H12" s="11" t="s">
        <v>399</v>
      </c>
      <c r="I12" s="3"/>
      <c r="K12" s="3" t="s">
        <v>31</v>
      </c>
      <c r="L12" s="3">
        <v>393</v>
      </c>
      <c r="M12" s="3">
        <v>0.61099999999999999</v>
      </c>
      <c r="N12" s="3">
        <v>0.14000000000000001</v>
      </c>
      <c r="O12" s="3">
        <v>4.3600000000000003</v>
      </c>
      <c r="P12" s="3" t="s">
        <v>9</v>
      </c>
      <c r="Q12" s="3" t="s">
        <v>40</v>
      </c>
      <c r="R12" s="9" t="s">
        <v>397</v>
      </c>
      <c r="S12" s="3"/>
    </row>
    <row r="13" spans="1:29" x14ac:dyDescent="0.3">
      <c r="A13" s="3" t="s">
        <v>41</v>
      </c>
      <c r="B13" s="3">
        <v>490</v>
      </c>
      <c r="C13" s="3">
        <v>0.80800000000000005</v>
      </c>
      <c r="D13" s="3">
        <v>0.13</v>
      </c>
      <c r="E13" s="3">
        <v>6.19</v>
      </c>
      <c r="F13" s="3" t="s">
        <v>9</v>
      </c>
      <c r="G13" s="3" t="s">
        <v>24</v>
      </c>
      <c r="H13" s="10" t="s">
        <v>400</v>
      </c>
      <c r="I13" s="3"/>
      <c r="K13" s="3" t="s">
        <v>42</v>
      </c>
      <c r="L13" s="3">
        <v>314</v>
      </c>
      <c r="M13" s="3">
        <v>0.70299999999999996</v>
      </c>
      <c r="N13" s="3">
        <v>0.16</v>
      </c>
      <c r="O13" s="3">
        <v>4.42</v>
      </c>
      <c r="P13" s="3" t="s">
        <v>9</v>
      </c>
      <c r="Q13" s="3" t="s">
        <v>40</v>
      </c>
      <c r="R13" s="9" t="s">
        <v>397</v>
      </c>
      <c r="S13" s="3"/>
    </row>
    <row r="14" spans="1:29" x14ac:dyDescent="0.3">
      <c r="A14" s="3" t="s">
        <v>38</v>
      </c>
      <c r="B14" s="3">
        <v>293</v>
      </c>
      <c r="C14" s="3">
        <v>0.996</v>
      </c>
      <c r="D14" s="3">
        <v>0.16</v>
      </c>
      <c r="E14" s="3">
        <v>6.16</v>
      </c>
      <c r="F14" s="3" t="s">
        <v>9</v>
      </c>
      <c r="G14" s="3" t="s">
        <v>24</v>
      </c>
      <c r="H14" s="9" t="s">
        <v>401</v>
      </c>
      <c r="I14" s="3"/>
      <c r="K14" s="3" t="s">
        <v>44</v>
      </c>
      <c r="L14" s="3">
        <v>193</v>
      </c>
      <c r="M14" s="3">
        <v>0.70199999999999996</v>
      </c>
      <c r="N14" s="3">
        <v>0.16</v>
      </c>
      <c r="O14" s="3">
        <v>4.37</v>
      </c>
      <c r="P14" s="3" t="s">
        <v>9</v>
      </c>
      <c r="Q14" s="3" t="s">
        <v>40</v>
      </c>
      <c r="R14" s="9" t="s">
        <v>397</v>
      </c>
      <c r="S14" s="3"/>
    </row>
    <row r="15" spans="1:29" x14ac:dyDescent="0.3">
      <c r="A15" s="3" t="s">
        <v>43</v>
      </c>
      <c r="B15" s="3">
        <v>566</v>
      </c>
      <c r="C15" s="3">
        <v>1.05</v>
      </c>
      <c r="D15" s="3">
        <v>0.17</v>
      </c>
      <c r="E15" s="3">
        <v>6.14</v>
      </c>
      <c r="F15" s="3" t="s">
        <v>9</v>
      </c>
      <c r="G15" s="3" t="s">
        <v>24</v>
      </c>
      <c r="H15" s="3" t="s">
        <v>25</v>
      </c>
      <c r="I15" s="3"/>
      <c r="K15" s="3" t="s">
        <v>46</v>
      </c>
      <c r="L15" s="3">
        <v>75.599999999999994</v>
      </c>
      <c r="M15" s="3">
        <v>0.83599999999999997</v>
      </c>
      <c r="N15" s="3">
        <v>0.19</v>
      </c>
      <c r="O15" s="3">
        <v>4.41</v>
      </c>
      <c r="P15" s="3" t="s">
        <v>9</v>
      </c>
      <c r="Q15" s="3" t="s">
        <v>40</v>
      </c>
      <c r="R15" s="3" t="s">
        <v>429</v>
      </c>
      <c r="S15" s="3"/>
    </row>
    <row r="16" spans="1:29" x14ac:dyDescent="0.3">
      <c r="A16" s="13" t="s">
        <v>45</v>
      </c>
      <c r="B16" s="3">
        <v>58.9</v>
      </c>
      <c r="C16" s="3">
        <v>1.36</v>
      </c>
      <c r="D16" s="3">
        <v>0.22</v>
      </c>
      <c r="E16" s="3">
        <v>6.13</v>
      </c>
      <c r="F16" s="3" t="s">
        <v>9</v>
      </c>
      <c r="G16" s="3" t="s">
        <v>24</v>
      </c>
      <c r="H16" s="10" t="s">
        <v>402</v>
      </c>
      <c r="I16" s="3"/>
      <c r="K16" s="6" t="s">
        <v>50</v>
      </c>
      <c r="L16" s="6">
        <v>63.8</v>
      </c>
      <c r="M16" s="6">
        <v>-1.08</v>
      </c>
      <c r="N16" s="6">
        <v>0.25</v>
      </c>
      <c r="O16" s="6">
        <v>-4.26</v>
      </c>
      <c r="P16" s="6" t="s">
        <v>9</v>
      </c>
      <c r="Q16" s="6" t="s">
        <v>51</v>
      </c>
      <c r="R16" s="12" t="s">
        <v>430</v>
      </c>
      <c r="S16" s="6"/>
    </row>
    <row r="17" spans="1:19" x14ac:dyDescent="0.3">
      <c r="A17" s="13" t="s">
        <v>47</v>
      </c>
      <c r="B17" s="3">
        <v>448</v>
      </c>
      <c r="C17" s="3">
        <v>1.05</v>
      </c>
      <c r="D17" s="3">
        <v>0.17</v>
      </c>
      <c r="E17" s="3">
        <v>6.11</v>
      </c>
      <c r="F17" s="3" t="s">
        <v>9</v>
      </c>
      <c r="G17" s="3" t="s">
        <v>24</v>
      </c>
      <c r="H17" s="9" t="s">
        <v>397</v>
      </c>
      <c r="I17" s="3"/>
      <c r="K17" s="3" t="s">
        <v>37</v>
      </c>
      <c r="L17" s="3">
        <v>520</v>
      </c>
      <c r="M17" s="3">
        <v>0.68700000000000006</v>
      </c>
      <c r="N17" s="3">
        <v>0.17</v>
      </c>
      <c r="O17" s="3">
        <v>4.1100000000000003</v>
      </c>
      <c r="P17" s="3" t="s">
        <v>9</v>
      </c>
      <c r="Q17" s="3" t="s">
        <v>53</v>
      </c>
      <c r="R17" s="9" t="s">
        <v>397</v>
      </c>
      <c r="S17" s="3"/>
    </row>
    <row r="18" spans="1:19" x14ac:dyDescent="0.3">
      <c r="A18" s="13" t="s">
        <v>49</v>
      </c>
      <c r="B18" s="3">
        <v>184</v>
      </c>
      <c r="C18" s="3">
        <v>1.35</v>
      </c>
      <c r="D18" s="3">
        <v>0.22</v>
      </c>
      <c r="E18" s="3">
        <v>6.08</v>
      </c>
      <c r="F18" s="3" t="s">
        <v>9</v>
      </c>
      <c r="G18" s="3" t="s">
        <v>24</v>
      </c>
      <c r="H18" s="10" t="s">
        <v>402</v>
      </c>
      <c r="I18" s="3"/>
      <c r="K18" s="3" t="s">
        <v>54</v>
      </c>
      <c r="L18" s="3">
        <v>217</v>
      </c>
      <c r="M18" s="3">
        <v>0.79700000000000004</v>
      </c>
      <c r="N18" s="3">
        <v>0.19</v>
      </c>
      <c r="O18" s="3">
        <v>4.0999999999999996</v>
      </c>
      <c r="P18" s="3" t="s">
        <v>9</v>
      </c>
      <c r="Q18" s="3" t="s">
        <v>53</v>
      </c>
      <c r="R18" s="10" t="s">
        <v>402</v>
      </c>
      <c r="S18" s="3"/>
    </row>
    <row r="19" spans="1:19" x14ac:dyDescent="0.3">
      <c r="A19" s="13" t="s">
        <v>52</v>
      </c>
      <c r="B19" s="3">
        <v>350</v>
      </c>
      <c r="C19" s="3">
        <v>0.998</v>
      </c>
      <c r="D19" s="3">
        <v>0.17</v>
      </c>
      <c r="E19" s="3">
        <v>6.04</v>
      </c>
      <c r="F19" s="3" t="s">
        <v>9</v>
      </c>
      <c r="G19" s="3" t="s">
        <v>24</v>
      </c>
      <c r="H19" s="11" t="s">
        <v>403</v>
      </c>
      <c r="I19" s="3"/>
      <c r="K19" s="3" t="s">
        <v>49</v>
      </c>
      <c r="L19" s="3">
        <v>162</v>
      </c>
      <c r="M19" s="3">
        <v>1.03</v>
      </c>
      <c r="N19" s="3">
        <v>0.25</v>
      </c>
      <c r="O19" s="3">
        <v>4.09</v>
      </c>
      <c r="P19" s="3" t="s">
        <v>9</v>
      </c>
      <c r="Q19" s="3" t="s">
        <v>53</v>
      </c>
      <c r="R19" s="10" t="s">
        <v>402</v>
      </c>
      <c r="S19" s="3"/>
    </row>
    <row r="20" spans="1:19" x14ac:dyDescent="0.3">
      <c r="A20" s="13" t="s">
        <v>32</v>
      </c>
      <c r="B20" s="3">
        <v>174</v>
      </c>
      <c r="C20" s="3">
        <v>0.85</v>
      </c>
      <c r="D20" s="3">
        <v>0.14000000000000001</v>
      </c>
      <c r="E20" s="3">
        <v>5.96</v>
      </c>
      <c r="F20" s="3" t="s">
        <v>9</v>
      </c>
      <c r="G20" s="3" t="s">
        <v>24</v>
      </c>
      <c r="H20" s="9" t="s">
        <v>397</v>
      </c>
      <c r="I20" s="3"/>
      <c r="K20" s="6" t="s">
        <v>57</v>
      </c>
      <c r="L20" s="6">
        <v>242</v>
      </c>
      <c r="M20" s="6">
        <v>-0.92800000000000005</v>
      </c>
      <c r="N20" s="6">
        <v>0.23</v>
      </c>
      <c r="O20" s="6">
        <v>-4.0199999999999996</v>
      </c>
      <c r="P20" s="6" t="s">
        <v>9</v>
      </c>
      <c r="Q20" s="6" t="s">
        <v>58</v>
      </c>
      <c r="R20" s="12" t="s">
        <v>418</v>
      </c>
      <c r="S20" s="6"/>
    </row>
    <row r="21" spans="1:19" x14ac:dyDescent="0.3">
      <c r="A21" s="14" t="s">
        <v>55</v>
      </c>
      <c r="B21" s="6">
        <v>91</v>
      </c>
      <c r="C21" s="6">
        <v>-1.41</v>
      </c>
      <c r="D21" s="6">
        <v>0.24</v>
      </c>
      <c r="E21" s="6">
        <v>-5.96</v>
      </c>
      <c r="F21" s="6" t="s">
        <v>9</v>
      </c>
      <c r="G21" s="6" t="s">
        <v>24</v>
      </c>
      <c r="H21" s="12" t="s">
        <v>417</v>
      </c>
      <c r="I21" s="6"/>
      <c r="K21" s="3" t="s">
        <v>60</v>
      </c>
      <c r="L21" s="3">
        <v>274</v>
      </c>
      <c r="M21" s="3">
        <v>0.61799999999999999</v>
      </c>
      <c r="N21" s="3">
        <v>0.16</v>
      </c>
      <c r="O21" s="3">
        <v>3.95</v>
      </c>
      <c r="P21" s="3" t="s">
        <v>9</v>
      </c>
      <c r="Q21" s="3" t="s">
        <v>61</v>
      </c>
      <c r="R21" s="9" t="s">
        <v>397</v>
      </c>
      <c r="S21" s="3"/>
    </row>
    <row r="22" spans="1:19" x14ac:dyDescent="0.3">
      <c r="A22" s="13" t="s">
        <v>56</v>
      </c>
      <c r="B22" s="3">
        <v>488</v>
      </c>
      <c r="C22" s="3">
        <v>0.85199999999999998</v>
      </c>
      <c r="D22" s="3">
        <v>0.14000000000000001</v>
      </c>
      <c r="E22" s="3">
        <v>5.92</v>
      </c>
      <c r="F22" s="3" t="s">
        <v>9</v>
      </c>
      <c r="G22" s="3" t="s">
        <v>24</v>
      </c>
      <c r="H22" s="9" t="s">
        <v>397</v>
      </c>
      <c r="I22" s="3"/>
      <c r="K22" s="3" t="s">
        <v>63</v>
      </c>
      <c r="L22" s="3">
        <v>188</v>
      </c>
      <c r="M22" s="3">
        <v>0.71899999999999997</v>
      </c>
      <c r="N22" s="3">
        <v>0.18</v>
      </c>
      <c r="O22" s="3">
        <v>3.96</v>
      </c>
      <c r="P22" s="3" t="s">
        <v>9</v>
      </c>
      <c r="Q22" s="3" t="s">
        <v>61</v>
      </c>
      <c r="R22" s="9" t="s">
        <v>397</v>
      </c>
      <c r="S22" s="3"/>
    </row>
    <row r="23" spans="1:19" x14ac:dyDescent="0.3">
      <c r="A23" s="13" t="s">
        <v>59</v>
      </c>
      <c r="B23" s="3">
        <v>63.8</v>
      </c>
      <c r="C23" s="3">
        <v>1.62</v>
      </c>
      <c r="D23" s="3">
        <v>0.27</v>
      </c>
      <c r="E23" s="3">
        <v>5.9</v>
      </c>
      <c r="F23" s="3" t="s">
        <v>9</v>
      </c>
      <c r="G23" s="3" t="s">
        <v>24</v>
      </c>
      <c r="H23" s="3" t="s">
        <v>404</v>
      </c>
      <c r="I23" s="3"/>
      <c r="K23" s="3" t="s">
        <v>35</v>
      </c>
      <c r="L23" s="3">
        <v>555</v>
      </c>
      <c r="M23" s="3">
        <v>0.63900000000000001</v>
      </c>
      <c r="N23" s="3">
        <v>0.16</v>
      </c>
      <c r="O23" s="3">
        <v>3.89</v>
      </c>
      <c r="P23" s="3" t="s">
        <v>9</v>
      </c>
      <c r="Q23" s="3" t="s">
        <v>10</v>
      </c>
      <c r="R23" s="9" t="s">
        <v>397</v>
      </c>
      <c r="S23" s="3"/>
    </row>
    <row r="24" spans="1:19" x14ac:dyDescent="0.3">
      <c r="A24" s="3" t="s">
        <v>62</v>
      </c>
      <c r="B24" s="3">
        <v>793</v>
      </c>
      <c r="C24" s="3">
        <v>0.88100000000000001</v>
      </c>
      <c r="D24" s="3">
        <v>0.15</v>
      </c>
      <c r="E24" s="3">
        <v>5.74</v>
      </c>
      <c r="F24" s="3" t="s">
        <v>9</v>
      </c>
      <c r="G24" s="3" t="s">
        <v>24</v>
      </c>
      <c r="H24" s="9" t="s">
        <v>397</v>
      </c>
      <c r="I24" s="3"/>
      <c r="K24" s="6" t="s">
        <v>69</v>
      </c>
      <c r="L24" s="6">
        <v>110</v>
      </c>
      <c r="M24" s="6">
        <v>-0.79100000000000004</v>
      </c>
      <c r="N24" s="6">
        <v>0.21</v>
      </c>
      <c r="O24" s="6">
        <v>-3.83</v>
      </c>
      <c r="P24" s="6" t="s">
        <v>9</v>
      </c>
      <c r="Q24" s="6" t="s">
        <v>70</v>
      </c>
      <c r="R24" s="12" t="s">
        <v>416</v>
      </c>
      <c r="S24" s="6"/>
    </row>
    <row r="25" spans="1:19" x14ac:dyDescent="0.3">
      <c r="A25" s="3" t="s">
        <v>64</v>
      </c>
      <c r="B25" s="3">
        <v>55.1</v>
      </c>
      <c r="C25" s="3">
        <v>1.27</v>
      </c>
      <c r="D25" s="3">
        <v>0.22</v>
      </c>
      <c r="E25" s="3">
        <v>5.72</v>
      </c>
      <c r="F25" s="3" t="s">
        <v>9</v>
      </c>
      <c r="G25" s="3" t="s">
        <v>24</v>
      </c>
      <c r="H25" s="11" t="s">
        <v>399</v>
      </c>
      <c r="I25" s="3"/>
      <c r="K25" s="3" t="s">
        <v>71</v>
      </c>
      <c r="L25" s="3">
        <v>77.7</v>
      </c>
      <c r="M25" s="3">
        <v>0.84499999999999997</v>
      </c>
      <c r="N25" s="3">
        <v>0.22</v>
      </c>
      <c r="O25" s="3">
        <v>3.79</v>
      </c>
      <c r="P25" s="3" t="s">
        <v>9</v>
      </c>
      <c r="Q25" s="3" t="s">
        <v>72</v>
      </c>
      <c r="R25" s="11" t="s">
        <v>399</v>
      </c>
      <c r="S25" s="3"/>
    </row>
    <row r="26" spans="1:19" x14ac:dyDescent="0.3">
      <c r="A26" s="3" t="s">
        <v>65</v>
      </c>
      <c r="B26" s="3">
        <v>34.9</v>
      </c>
      <c r="C26" s="3">
        <v>1.48</v>
      </c>
      <c r="D26" s="3">
        <v>0.26</v>
      </c>
      <c r="E26" s="3">
        <v>5.68</v>
      </c>
      <c r="F26" s="3" t="s">
        <v>9</v>
      </c>
      <c r="G26" s="3" t="s">
        <v>24</v>
      </c>
      <c r="H26" s="9" t="s">
        <v>411</v>
      </c>
      <c r="I26" s="3"/>
      <c r="K26" s="3" t="s">
        <v>73</v>
      </c>
      <c r="L26" s="3">
        <v>302</v>
      </c>
      <c r="M26" s="3">
        <v>1.05</v>
      </c>
      <c r="N26" s="3">
        <v>0.28000000000000003</v>
      </c>
      <c r="O26" s="3">
        <v>3.72</v>
      </c>
      <c r="P26" s="3" t="s">
        <v>9</v>
      </c>
      <c r="Q26" s="3" t="s">
        <v>74</v>
      </c>
      <c r="R26" s="10" t="s">
        <v>431</v>
      </c>
      <c r="S26" s="3"/>
    </row>
    <row r="27" spans="1:19" x14ac:dyDescent="0.3">
      <c r="A27" s="13" t="s">
        <v>68</v>
      </c>
      <c r="B27" s="3">
        <v>421</v>
      </c>
      <c r="C27" s="3">
        <v>0.80300000000000005</v>
      </c>
      <c r="D27" s="3">
        <v>0.14000000000000001</v>
      </c>
      <c r="E27" s="3">
        <v>5.67</v>
      </c>
      <c r="F27" s="3" t="s">
        <v>9</v>
      </c>
      <c r="G27" s="3" t="s">
        <v>24</v>
      </c>
      <c r="H27" s="9" t="s">
        <v>397</v>
      </c>
      <c r="I27" s="3"/>
      <c r="K27" s="3" t="s">
        <v>77</v>
      </c>
      <c r="L27" s="3">
        <v>104</v>
      </c>
      <c r="M27" s="3">
        <v>0.64500000000000002</v>
      </c>
      <c r="N27" s="3">
        <v>0.17</v>
      </c>
      <c r="O27" s="3">
        <v>3.72</v>
      </c>
      <c r="P27" s="3" t="s">
        <v>9</v>
      </c>
      <c r="Q27" s="3" t="s">
        <v>74</v>
      </c>
      <c r="R27" s="9" t="s">
        <v>397</v>
      </c>
      <c r="S27" s="3"/>
    </row>
    <row r="28" spans="1:19" x14ac:dyDescent="0.3">
      <c r="A28" s="13" t="s">
        <v>48</v>
      </c>
      <c r="B28" s="3">
        <v>339</v>
      </c>
      <c r="C28" s="3">
        <v>0.68899999999999995</v>
      </c>
      <c r="D28" s="3">
        <v>0.12</v>
      </c>
      <c r="E28" s="3">
        <v>5.61</v>
      </c>
      <c r="F28" s="3" t="s">
        <v>9</v>
      </c>
      <c r="G28" s="3" t="s">
        <v>24</v>
      </c>
      <c r="H28" s="9" t="s">
        <v>397</v>
      </c>
      <c r="I28" s="3"/>
      <c r="K28" s="14" t="s">
        <v>79</v>
      </c>
      <c r="L28" s="6">
        <v>44.2</v>
      </c>
      <c r="M28" s="6">
        <v>-1.17</v>
      </c>
      <c r="N28" s="6">
        <v>0.31</v>
      </c>
      <c r="O28" s="6">
        <v>-3.74</v>
      </c>
      <c r="P28" s="6" t="s">
        <v>9</v>
      </c>
      <c r="Q28" s="6" t="s">
        <v>74</v>
      </c>
      <c r="R28" s="12" t="s">
        <v>424</v>
      </c>
      <c r="S28" s="6"/>
    </row>
    <row r="29" spans="1:19" x14ac:dyDescent="0.3">
      <c r="A29" s="3" t="s">
        <v>54</v>
      </c>
      <c r="B29" s="3">
        <v>227</v>
      </c>
      <c r="C29" s="3">
        <v>0.94399999999999995</v>
      </c>
      <c r="D29" s="3">
        <v>0.17</v>
      </c>
      <c r="E29" s="3">
        <v>5.6</v>
      </c>
      <c r="F29" s="3" t="s">
        <v>9</v>
      </c>
      <c r="G29" s="3" t="s">
        <v>24</v>
      </c>
      <c r="H29" s="10" t="s">
        <v>402</v>
      </c>
      <c r="I29" s="3"/>
      <c r="K29" s="3" t="s">
        <v>62</v>
      </c>
      <c r="L29" s="3">
        <v>739</v>
      </c>
      <c r="M29" s="3">
        <v>0.66500000000000004</v>
      </c>
      <c r="N29" s="3">
        <v>0.18</v>
      </c>
      <c r="O29" s="3">
        <v>3.68</v>
      </c>
      <c r="P29" s="3" t="s">
        <v>9</v>
      </c>
      <c r="Q29" s="3" t="s">
        <v>81</v>
      </c>
      <c r="R29" s="9" t="s">
        <v>397</v>
      </c>
      <c r="S29" s="3"/>
    </row>
    <row r="30" spans="1:19" x14ac:dyDescent="0.3">
      <c r="A30" s="3" t="s">
        <v>75</v>
      </c>
      <c r="B30" s="3">
        <v>173</v>
      </c>
      <c r="C30" s="3">
        <v>0.88700000000000001</v>
      </c>
      <c r="D30" s="3">
        <v>0.16</v>
      </c>
      <c r="E30" s="3">
        <v>5.6</v>
      </c>
      <c r="F30" s="3" t="s">
        <v>9</v>
      </c>
      <c r="G30" s="3" t="s">
        <v>24</v>
      </c>
      <c r="H30" s="9" t="s">
        <v>397</v>
      </c>
      <c r="I30" s="3"/>
      <c r="K30" s="3" t="s">
        <v>83</v>
      </c>
      <c r="L30" s="3">
        <v>26.6</v>
      </c>
      <c r="M30" s="3">
        <v>1.07</v>
      </c>
      <c r="N30" s="3">
        <v>0.28999999999999998</v>
      </c>
      <c r="O30" s="3">
        <v>3.65</v>
      </c>
      <c r="P30" s="3" t="s">
        <v>9</v>
      </c>
      <c r="Q30" s="3" t="s">
        <v>84</v>
      </c>
      <c r="R30" s="11" t="s">
        <v>413</v>
      </c>
      <c r="S30" s="3"/>
    </row>
    <row r="31" spans="1:19" x14ac:dyDescent="0.3">
      <c r="A31" s="3" t="s">
        <v>76</v>
      </c>
      <c r="B31" s="3">
        <v>258</v>
      </c>
      <c r="C31" s="3">
        <v>0.78400000000000003</v>
      </c>
      <c r="D31" s="3">
        <v>0.14000000000000001</v>
      </c>
      <c r="E31" s="3">
        <v>5.57</v>
      </c>
      <c r="F31" s="3" t="s">
        <v>9</v>
      </c>
      <c r="G31" s="3" t="s">
        <v>24</v>
      </c>
      <c r="H31" s="9" t="s">
        <v>397</v>
      </c>
      <c r="I31" s="3"/>
      <c r="K31" s="3" t="s">
        <v>47</v>
      </c>
      <c r="L31" s="3">
        <v>417</v>
      </c>
      <c r="M31" s="3">
        <v>0.84799999999999998</v>
      </c>
      <c r="N31" s="3">
        <v>0.23</v>
      </c>
      <c r="O31" s="3">
        <v>3.61</v>
      </c>
      <c r="P31" s="3" t="s">
        <v>9</v>
      </c>
      <c r="Q31" s="3" t="s">
        <v>86</v>
      </c>
      <c r="R31" s="9" t="s">
        <v>397</v>
      </c>
      <c r="S31" s="3"/>
    </row>
    <row r="32" spans="1:19" x14ac:dyDescent="0.3">
      <c r="A32" s="3" t="s">
        <v>78</v>
      </c>
      <c r="B32" s="3">
        <v>412</v>
      </c>
      <c r="C32" s="3">
        <v>0.90500000000000003</v>
      </c>
      <c r="D32" s="3">
        <v>0.16</v>
      </c>
      <c r="E32" s="3">
        <v>5.56</v>
      </c>
      <c r="F32" s="3" t="s">
        <v>9</v>
      </c>
      <c r="G32" s="3" t="s">
        <v>24</v>
      </c>
      <c r="H32" s="9" t="s">
        <v>397</v>
      </c>
      <c r="I32" s="3"/>
      <c r="K32" s="3" t="s">
        <v>88</v>
      </c>
      <c r="L32" s="3">
        <v>188</v>
      </c>
      <c r="M32" s="3">
        <v>0.71399999999999997</v>
      </c>
      <c r="N32" s="3">
        <v>0.2</v>
      </c>
      <c r="O32" s="3">
        <v>3.61</v>
      </c>
      <c r="P32" s="3" t="s">
        <v>9</v>
      </c>
      <c r="Q32" s="3" t="s">
        <v>86</v>
      </c>
      <c r="R32" s="11" t="s">
        <v>423</v>
      </c>
      <c r="S32" s="3"/>
    </row>
    <row r="33" spans="1:19" x14ac:dyDescent="0.3">
      <c r="A33" s="13" t="s">
        <v>80</v>
      </c>
      <c r="B33" s="3">
        <v>353</v>
      </c>
      <c r="C33" s="3">
        <v>0.70499999999999996</v>
      </c>
      <c r="D33" s="3">
        <v>0.13</v>
      </c>
      <c r="E33" s="3">
        <v>5.52</v>
      </c>
      <c r="F33" s="3" t="s">
        <v>9</v>
      </c>
      <c r="G33" s="3" t="s">
        <v>24</v>
      </c>
      <c r="H33" s="9" t="s">
        <v>397</v>
      </c>
      <c r="I33" s="3"/>
      <c r="K33" s="3" t="s">
        <v>90</v>
      </c>
      <c r="L33" s="3">
        <v>164</v>
      </c>
      <c r="M33" s="3">
        <v>0.71</v>
      </c>
      <c r="N33" s="3">
        <v>0.2</v>
      </c>
      <c r="O33" s="3">
        <v>3.6</v>
      </c>
      <c r="P33" s="3" t="s">
        <v>9</v>
      </c>
      <c r="Q33" s="3" t="s">
        <v>86</v>
      </c>
      <c r="R33" s="10" t="s">
        <v>412</v>
      </c>
      <c r="S33" s="3"/>
    </row>
    <row r="34" spans="1:19" x14ac:dyDescent="0.3">
      <c r="A34" s="13" t="s">
        <v>82</v>
      </c>
      <c r="B34" s="3">
        <v>723</v>
      </c>
      <c r="C34" s="3">
        <v>0.93500000000000005</v>
      </c>
      <c r="D34" s="3">
        <v>0.17</v>
      </c>
      <c r="E34" s="3">
        <v>5.5</v>
      </c>
      <c r="F34" s="3" t="s">
        <v>9</v>
      </c>
      <c r="G34" s="3" t="s">
        <v>24</v>
      </c>
      <c r="H34" s="10" t="s">
        <v>412</v>
      </c>
      <c r="I34" s="3"/>
      <c r="K34" s="3" t="s">
        <v>43</v>
      </c>
      <c r="L34" s="3">
        <v>518</v>
      </c>
      <c r="M34" s="3">
        <v>0.80800000000000005</v>
      </c>
      <c r="N34" s="3">
        <v>0.23</v>
      </c>
      <c r="O34" s="3">
        <v>3.59</v>
      </c>
      <c r="P34" s="3" t="s">
        <v>9</v>
      </c>
      <c r="Q34" s="3" t="s">
        <v>86</v>
      </c>
      <c r="R34" s="3" t="s">
        <v>25</v>
      </c>
      <c r="S34" s="3"/>
    </row>
    <row r="35" spans="1:19" x14ac:dyDescent="0.3">
      <c r="A35" s="3" t="s">
        <v>85</v>
      </c>
      <c r="B35" s="3">
        <v>602</v>
      </c>
      <c r="C35" s="3">
        <v>1.27</v>
      </c>
      <c r="D35" s="3">
        <v>0.23</v>
      </c>
      <c r="E35" s="3">
        <v>5.5</v>
      </c>
      <c r="F35" s="3" t="s">
        <v>9</v>
      </c>
      <c r="G35" s="3" t="s">
        <v>24</v>
      </c>
      <c r="H35" s="9" t="s">
        <v>397</v>
      </c>
      <c r="I35" s="3"/>
      <c r="K35" s="3" t="s">
        <v>33</v>
      </c>
      <c r="L35" s="3">
        <v>104</v>
      </c>
      <c r="M35" s="3">
        <v>1</v>
      </c>
      <c r="N35" s="3">
        <v>0.28000000000000003</v>
      </c>
      <c r="O35" s="3">
        <v>3.58</v>
      </c>
      <c r="P35" s="3" t="s">
        <v>9</v>
      </c>
      <c r="Q35" s="3" t="s">
        <v>86</v>
      </c>
      <c r="R35" s="10" t="s">
        <v>398</v>
      </c>
      <c r="S35" s="3"/>
    </row>
    <row r="36" spans="1:19" x14ac:dyDescent="0.3">
      <c r="A36" s="13" t="s">
        <v>87</v>
      </c>
      <c r="B36" s="3">
        <v>546</v>
      </c>
      <c r="C36" s="3">
        <v>0.74</v>
      </c>
      <c r="D36" s="3">
        <v>0.13</v>
      </c>
      <c r="E36" s="3">
        <v>5.5</v>
      </c>
      <c r="F36" s="3" t="s">
        <v>9</v>
      </c>
      <c r="G36" s="3" t="s">
        <v>24</v>
      </c>
      <c r="H36" s="9" t="s">
        <v>397</v>
      </c>
      <c r="I36" s="3"/>
      <c r="K36" s="3" t="s">
        <v>94</v>
      </c>
      <c r="L36" s="3">
        <v>41.3</v>
      </c>
      <c r="M36" s="3">
        <v>0.92800000000000005</v>
      </c>
      <c r="N36" s="3">
        <v>0.26</v>
      </c>
      <c r="O36" s="3">
        <v>3.57</v>
      </c>
      <c r="P36" s="3" t="s">
        <v>9</v>
      </c>
      <c r="Q36" s="3" t="s">
        <v>86</v>
      </c>
      <c r="R36" s="10" t="s">
        <v>402</v>
      </c>
      <c r="S36" s="3"/>
    </row>
    <row r="37" spans="1:19" x14ac:dyDescent="0.3">
      <c r="A37" s="3" t="s">
        <v>89</v>
      </c>
      <c r="B37" s="3">
        <v>851</v>
      </c>
      <c r="C37" s="3">
        <v>1.1000000000000001</v>
      </c>
      <c r="D37" s="3">
        <v>0.2</v>
      </c>
      <c r="E37" s="3">
        <v>5.47</v>
      </c>
      <c r="F37" s="3" t="s">
        <v>9</v>
      </c>
      <c r="G37" s="3" t="s">
        <v>24</v>
      </c>
      <c r="H37" s="9" t="s">
        <v>397</v>
      </c>
      <c r="I37" s="3"/>
      <c r="K37" s="3" t="s">
        <v>96</v>
      </c>
      <c r="L37" s="3">
        <v>149</v>
      </c>
      <c r="M37" s="3">
        <v>0.77500000000000002</v>
      </c>
      <c r="N37" s="3">
        <v>0.22</v>
      </c>
      <c r="O37" s="3">
        <v>3.53</v>
      </c>
      <c r="P37" s="3" t="s">
        <v>9</v>
      </c>
      <c r="Q37" s="3" t="s">
        <v>97</v>
      </c>
      <c r="R37" s="10" t="s">
        <v>431</v>
      </c>
      <c r="S37" s="3"/>
    </row>
    <row r="38" spans="1:19" x14ac:dyDescent="0.3">
      <c r="A38" s="13" t="s">
        <v>91</v>
      </c>
      <c r="B38" s="3">
        <v>498</v>
      </c>
      <c r="C38" s="3">
        <v>0.78600000000000003</v>
      </c>
      <c r="D38" s="3">
        <v>0.14000000000000001</v>
      </c>
      <c r="E38" s="3">
        <v>5.49</v>
      </c>
      <c r="F38" s="3" t="s">
        <v>9</v>
      </c>
      <c r="G38" s="3" t="s">
        <v>24</v>
      </c>
      <c r="H38" s="9" t="s">
        <v>397</v>
      </c>
      <c r="I38" s="3"/>
      <c r="K38" s="3" t="s">
        <v>100</v>
      </c>
      <c r="L38" s="3">
        <v>93.6</v>
      </c>
      <c r="M38" s="3">
        <v>0.70099999999999996</v>
      </c>
      <c r="N38" s="3">
        <v>0.2</v>
      </c>
      <c r="O38" s="3">
        <v>3.54</v>
      </c>
      <c r="P38" s="3" t="s">
        <v>9</v>
      </c>
      <c r="Q38" s="3" t="s">
        <v>97</v>
      </c>
      <c r="R38" s="11" t="s">
        <v>423</v>
      </c>
      <c r="S38" s="3"/>
    </row>
    <row r="39" spans="1:19" x14ac:dyDescent="0.3">
      <c r="A39" s="3" t="s">
        <v>92</v>
      </c>
      <c r="B39" s="3">
        <v>150</v>
      </c>
      <c r="C39" s="3">
        <v>0.89100000000000001</v>
      </c>
      <c r="D39" s="3">
        <v>0.16</v>
      </c>
      <c r="E39" s="3">
        <v>5.47</v>
      </c>
      <c r="F39" s="3" t="s">
        <v>9</v>
      </c>
      <c r="G39" s="3" t="s">
        <v>24</v>
      </c>
      <c r="H39" s="9" t="s">
        <v>397</v>
      </c>
      <c r="I39" s="3"/>
      <c r="K39" s="3" t="s">
        <v>93</v>
      </c>
      <c r="L39" s="3">
        <v>49.2</v>
      </c>
      <c r="M39" s="3">
        <v>0.84599999999999997</v>
      </c>
      <c r="N39" s="3">
        <v>0.24</v>
      </c>
      <c r="O39" s="3">
        <v>3.53</v>
      </c>
      <c r="P39" s="3" t="s">
        <v>9</v>
      </c>
      <c r="Q39" s="3" t="s">
        <v>97</v>
      </c>
      <c r="R39" s="3" t="s">
        <v>25</v>
      </c>
      <c r="S39" s="3"/>
    </row>
    <row r="40" spans="1:19" x14ac:dyDescent="0.3">
      <c r="A40" s="3" t="s">
        <v>93</v>
      </c>
      <c r="B40" s="3">
        <v>59.5</v>
      </c>
      <c r="C40" s="3">
        <v>1.25</v>
      </c>
      <c r="D40" s="3">
        <v>0.23</v>
      </c>
      <c r="E40" s="3">
        <v>5.48</v>
      </c>
      <c r="F40" s="3" t="s">
        <v>9</v>
      </c>
      <c r="G40" s="3" t="s">
        <v>24</v>
      </c>
      <c r="H40" s="3" t="s">
        <v>25</v>
      </c>
      <c r="I40" s="3"/>
      <c r="K40" s="3" t="s">
        <v>103</v>
      </c>
      <c r="L40" s="3">
        <v>24.7</v>
      </c>
      <c r="M40" s="3">
        <v>1.52</v>
      </c>
      <c r="N40" s="3">
        <v>0.43</v>
      </c>
      <c r="O40" s="3">
        <v>3.54</v>
      </c>
      <c r="P40" s="3" t="s">
        <v>9</v>
      </c>
      <c r="Q40" s="3" t="s">
        <v>97</v>
      </c>
      <c r="R40" s="10" t="s">
        <v>402</v>
      </c>
      <c r="S40" s="3"/>
    </row>
    <row r="41" spans="1:19" x14ac:dyDescent="0.3">
      <c r="A41" s="3" t="s">
        <v>95</v>
      </c>
      <c r="B41" s="3">
        <v>295</v>
      </c>
      <c r="C41" s="3">
        <v>0.76200000000000001</v>
      </c>
      <c r="D41" s="3">
        <v>0.14000000000000001</v>
      </c>
      <c r="E41" s="3">
        <v>5.46</v>
      </c>
      <c r="F41" s="3" t="s">
        <v>9</v>
      </c>
      <c r="G41" s="3" t="s">
        <v>24</v>
      </c>
      <c r="H41" s="9" t="s">
        <v>397</v>
      </c>
      <c r="I41" s="3"/>
      <c r="K41" s="3" t="s">
        <v>105</v>
      </c>
      <c r="L41" s="3">
        <v>901</v>
      </c>
      <c r="M41" s="3">
        <v>0.75</v>
      </c>
      <c r="N41" s="3">
        <v>0.21</v>
      </c>
      <c r="O41" s="3">
        <v>3.5</v>
      </c>
      <c r="P41" s="3" t="s">
        <v>9</v>
      </c>
      <c r="Q41" s="3" t="s">
        <v>97</v>
      </c>
      <c r="R41" s="11" t="s">
        <v>399</v>
      </c>
      <c r="S41" s="3"/>
    </row>
    <row r="42" spans="1:19" x14ac:dyDescent="0.3">
      <c r="A42" s="3" t="s">
        <v>83</v>
      </c>
      <c r="B42" s="3">
        <v>31.6</v>
      </c>
      <c r="C42" s="3">
        <v>1.43</v>
      </c>
      <c r="D42" s="3">
        <v>0.26</v>
      </c>
      <c r="E42" s="3">
        <v>5.45</v>
      </c>
      <c r="F42" s="3" t="s">
        <v>9</v>
      </c>
      <c r="G42" s="3" t="s">
        <v>24</v>
      </c>
      <c r="H42" s="11" t="s">
        <v>413</v>
      </c>
      <c r="I42" s="3"/>
      <c r="K42" s="3" t="s">
        <v>85</v>
      </c>
      <c r="L42" s="3">
        <v>535</v>
      </c>
      <c r="M42" s="3">
        <v>0.98199999999999998</v>
      </c>
      <c r="N42" s="3">
        <v>0.28000000000000003</v>
      </c>
      <c r="O42" s="3">
        <v>3.45</v>
      </c>
      <c r="P42" s="3" t="s">
        <v>9</v>
      </c>
      <c r="Q42" s="3" t="s">
        <v>97</v>
      </c>
      <c r="R42" s="9" t="s">
        <v>397</v>
      </c>
      <c r="S42" s="3"/>
    </row>
    <row r="43" spans="1:19" x14ac:dyDescent="0.3">
      <c r="A43" s="13" t="s">
        <v>99</v>
      </c>
      <c r="B43" s="3">
        <v>551</v>
      </c>
      <c r="C43" s="3">
        <v>0.91600000000000004</v>
      </c>
      <c r="D43" s="3">
        <v>0.17</v>
      </c>
      <c r="E43" s="3">
        <v>5.38</v>
      </c>
      <c r="F43" s="3" t="s">
        <v>9</v>
      </c>
      <c r="G43" s="3" t="s">
        <v>24</v>
      </c>
      <c r="H43" s="11" t="s">
        <v>403</v>
      </c>
      <c r="I43" s="3"/>
      <c r="K43" s="3" t="s">
        <v>41</v>
      </c>
      <c r="L43" s="3">
        <v>463</v>
      </c>
      <c r="M43" s="3">
        <v>0.61799999999999999</v>
      </c>
      <c r="N43" s="3">
        <v>0.18</v>
      </c>
      <c r="O43" s="3">
        <v>3.46</v>
      </c>
      <c r="P43" s="3" t="s">
        <v>9</v>
      </c>
      <c r="Q43" s="3" t="s">
        <v>97</v>
      </c>
      <c r="R43" s="10" t="s">
        <v>400</v>
      </c>
      <c r="S43" s="3"/>
    </row>
    <row r="44" spans="1:19" x14ac:dyDescent="0.3">
      <c r="A44" s="3" t="s">
        <v>101</v>
      </c>
      <c r="B44" s="3">
        <v>199</v>
      </c>
      <c r="C44" s="3">
        <v>0.82699999999999996</v>
      </c>
      <c r="D44" s="3">
        <v>0.15</v>
      </c>
      <c r="E44" s="3">
        <v>5.39</v>
      </c>
      <c r="F44" s="3" t="s">
        <v>9</v>
      </c>
      <c r="G44" s="3" t="s">
        <v>24</v>
      </c>
      <c r="H44" s="9" t="s">
        <v>414</v>
      </c>
      <c r="I44" s="3"/>
      <c r="K44" s="3" t="s">
        <v>39</v>
      </c>
      <c r="L44" s="3">
        <v>358</v>
      </c>
      <c r="M44" s="3">
        <v>0.81299999999999994</v>
      </c>
      <c r="N44" s="3">
        <v>0.24</v>
      </c>
      <c r="O44" s="3">
        <v>3.46</v>
      </c>
      <c r="P44" s="3" t="s">
        <v>9</v>
      </c>
      <c r="Q44" s="3" t="s">
        <v>97</v>
      </c>
      <c r="R44" s="11" t="s">
        <v>399</v>
      </c>
      <c r="S44" s="3"/>
    </row>
    <row r="45" spans="1:19" x14ac:dyDescent="0.3">
      <c r="A45" s="13" t="s">
        <v>102</v>
      </c>
      <c r="B45" s="3">
        <v>264</v>
      </c>
      <c r="C45" s="3">
        <v>0.76</v>
      </c>
      <c r="D45" s="3">
        <v>0.14000000000000001</v>
      </c>
      <c r="E45" s="3">
        <v>5.33</v>
      </c>
      <c r="F45" s="3" t="s">
        <v>9</v>
      </c>
      <c r="G45" s="3" t="s">
        <v>24</v>
      </c>
      <c r="H45" s="9" t="s">
        <v>397</v>
      </c>
      <c r="I45" s="3"/>
      <c r="K45" s="3" t="s">
        <v>76</v>
      </c>
      <c r="L45" s="3">
        <v>248</v>
      </c>
      <c r="M45" s="3">
        <v>0.64900000000000002</v>
      </c>
      <c r="N45" s="3">
        <v>0.19</v>
      </c>
      <c r="O45" s="3">
        <v>3.46</v>
      </c>
      <c r="P45" s="3" t="s">
        <v>9</v>
      </c>
      <c r="Q45" s="3" t="s">
        <v>97</v>
      </c>
      <c r="R45" s="9" t="s">
        <v>397</v>
      </c>
      <c r="S45" s="3"/>
    </row>
    <row r="46" spans="1:19" x14ac:dyDescent="0.3">
      <c r="A46" s="13" t="s">
        <v>104</v>
      </c>
      <c r="B46" s="3">
        <v>358</v>
      </c>
      <c r="C46" s="3">
        <v>0.83899999999999997</v>
      </c>
      <c r="D46" s="3">
        <v>0.16</v>
      </c>
      <c r="E46" s="3">
        <v>5.29</v>
      </c>
      <c r="F46" s="3" t="s">
        <v>9</v>
      </c>
      <c r="G46" s="3" t="s">
        <v>24</v>
      </c>
      <c r="H46" s="9" t="s">
        <v>397</v>
      </c>
      <c r="I46" s="3"/>
      <c r="K46" s="3" t="s">
        <v>109</v>
      </c>
      <c r="L46" s="3">
        <v>179</v>
      </c>
      <c r="M46" s="3">
        <v>0.61699999999999999</v>
      </c>
      <c r="N46" s="3">
        <v>0.18</v>
      </c>
      <c r="O46" s="3">
        <v>3.5</v>
      </c>
      <c r="P46" s="3" t="s">
        <v>9</v>
      </c>
      <c r="Q46" s="3" t="s">
        <v>97</v>
      </c>
      <c r="R46" s="3" t="s">
        <v>434</v>
      </c>
      <c r="S46" s="3"/>
    </row>
    <row r="47" spans="1:19" x14ac:dyDescent="0.3">
      <c r="A47" s="3" t="s">
        <v>106</v>
      </c>
      <c r="B47" s="3">
        <v>244</v>
      </c>
      <c r="C47" s="3">
        <v>0.86</v>
      </c>
      <c r="D47" s="3">
        <v>0.16</v>
      </c>
      <c r="E47" s="3">
        <v>5.27</v>
      </c>
      <c r="F47" s="3" t="s">
        <v>9</v>
      </c>
      <c r="G47" s="3" t="s">
        <v>24</v>
      </c>
      <c r="H47" s="11" t="s">
        <v>415</v>
      </c>
      <c r="I47" s="3"/>
      <c r="K47" s="3" t="s">
        <v>111</v>
      </c>
      <c r="L47" s="3">
        <v>128</v>
      </c>
      <c r="M47" s="3">
        <v>0.8</v>
      </c>
      <c r="N47" s="3">
        <v>0.23</v>
      </c>
      <c r="O47" s="3">
        <v>3.5</v>
      </c>
      <c r="P47" s="3" t="s">
        <v>9</v>
      </c>
      <c r="Q47" s="3" t="s">
        <v>97</v>
      </c>
      <c r="R47" s="10" t="s">
        <v>402</v>
      </c>
      <c r="S47" s="3"/>
    </row>
    <row r="48" spans="1:19" x14ac:dyDescent="0.3">
      <c r="A48" s="13" t="s">
        <v>107</v>
      </c>
      <c r="B48" s="3">
        <v>621</v>
      </c>
      <c r="C48" s="3">
        <v>0.66600000000000004</v>
      </c>
      <c r="D48" s="3">
        <v>0.13</v>
      </c>
      <c r="E48" s="3">
        <v>5.26</v>
      </c>
      <c r="F48" s="3" t="s">
        <v>9</v>
      </c>
      <c r="G48" s="3" t="s">
        <v>24</v>
      </c>
      <c r="H48" s="9" t="s">
        <v>397</v>
      </c>
      <c r="I48" s="3"/>
      <c r="K48" s="3" t="s">
        <v>92</v>
      </c>
      <c r="L48" s="3">
        <v>140</v>
      </c>
      <c r="M48" s="3">
        <v>0.67800000000000005</v>
      </c>
      <c r="N48" s="3">
        <v>0.19</v>
      </c>
      <c r="O48" s="3">
        <v>3.49</v>
      </c>
      <c r="P48" s="3" t="s">
        <v>9</v>
      </c>
      <c r="Q48" s="3" t="s">
        <v>97</v>
      </c>
      <c r="R48" s="9" t="s">
        <v>397</v>
      </c>
      <c r="S48" s="3"/>
    </row>
    <row r="49" spans="1:19" x14ac:dyDescent="0.3">
      <c r="A49" s="3" t="s">
        <v>34</v>
      </c>
      <c r="B49" s="3">
        <v>105</v>
      </c>
      <c r="C49" s="3">
        <v>0.877</v>
      </c>
      <c r="D49" s="3">
        <v>0.17</v>
      </c>
      <c r="E49" s="3">
        <v>5.26</v>
      </c>
      <c r="F49" s="3" t="s">
        <v>9</v>
      </c>
      <c r="G49" s="3" t="s">
        <v>24</v>
      </c>
      <c r="H49" s="9" t="s">
        <v>397</v>
      </c>
      <c r="I49" s="3"/>
      <c r="K49" s="3" t="s">
        <v>110</v>
      </c>
      <c r="L49" s="3">
        <v>101</v>
      </c>
      <c r="M49" s="3">
        <v>0.72799999999999998</v>
      </c>
      <c r="N49" s="3">
        <v>0.21</v>
      </c>
      <c r="O49" s="3">
        <v>3.45</v>
      </c>
      <c r="P49" s="3" t="s">
        <v>9</v>
      </c>
      <c r="Q49" s="3" t="s">
        <v>97</v>
      </c>
      <c r="R49" s="10" t="s">
        <v>412</v>
      </c>
      <c r="S49" s="3"/>
    </row>
    <row r="50" spans="1:19" x14ac:dyDescent="0.3">
      <c r="A50" s="3" t="s">
        <v>105</v>
      </c>
      <c r="B50" s="3">
        <v>944</v>
      </c>
      <c r="C50" s="3">
        <v>0.91200000000000003</v>
      </c>
      <c r="D50" s="3">
        <v>0.17</v>
      </c>
      <c r="E50" s="3">
        <v>5.23</v>
      </c>
      <c r="F50" s="3" t="s">
        <v>9</v>
      </c>
      <c r="G50" s="3" t="s">
        <v>24</v>
      </c>
      <c r="H50" s="11" t="s">
        <v>399</v>
      </c>
      <c r="I50" s="3"/>
      <c r="K50" s="3" t="s">
        <v>114</v>
      </c>
      <c r="L50" s="3">
        <v>91.8</v>
      </c>
      <c r="M50" s="3">
        <v>0.76400000000000001</v>
      </c>
      <c r="N50" s="3">
        <v>0.22</v>
      </c>
      <c r="O50" s="3">
        <v>3.51</v>
      </c>
      <c r="P50" s="3" t="s">
        <v>9</v>
      </c>
      <c r="Q50" s="3" t="s">
        <v>97</v>
      </c>
      <c r="R50" s="9" t="s">
        <v>414</v>
      </c>
      <c r="S50" s="3"/>
    </row>
    <row r="51" spans="1:19" x14ac:dyDescent="0.3">
      <c r="A51" s="3" t="s">
        <v>42</v>
      </c>
      <c r="B51" s="3">
        <v>313</v>
      </c>
      <c r="C51" s="3">
        <v>0.75900000000000001</v>
      </c>
      <c r="D51" s="3">
        <v>0.15</v>
      </c>
      <c r="E51" s="3">
        <v>5.21</v>
      </c>
      <c r="F51" s="3" t="s">
        <v>9</v>
      </c>
      <c r="G51" s="3" t="s">
        <v>24</v>
      </c>
      <c r="H51" s="9" t="s">
        <v>397</v>
      </c>
      <c r="I51" s="3"/>
      <c r="K51" s="3" t="s">
        <v>116</v>
      </c>
      <c r="L51" s="3">
        <v>52.8</v>
      </c>
      <c r="M51" s="3">
        <v>2.41</v>
      </c>
      <c r="N51" s="3">
        <v>0.69</v>
      </c>
      <c r="O51" s="3">
        <v>3.49</v>
      </c>
      <c r="P51" s="3" t="s">
        <v>9</v>
      </c>
      <c r="Q51" s="3" t="s">
        <v>97</v>
      </c>
      <c r="R51" s="10" t="s">
        <v>433</v>
      </c>
      <c r="S51" s="3"/>
    </row>
    <row r="52" spans="1:19" x14ac:dyDescent="0.3">
      <c r="A52" s="13" t="s">
        <v>108</v>
      </c>
      <c r="B52" s="3">
        <v>149</v>
      </c>
      <c r="C52" s="3">
        <v>0.73499999999999999</v>
      </c>
      <c r="D52" s="3">
        <v>0.14000000000000001</v>
      </c>
      <c r="E52" s="3">
        <v>5.19</v>
      </c>
      <c r="F52" s="3" t="s">
        <v>9</v>
      </c>
      <c r="G52" s="3" t="s">
        <v>24</v>
      </c>
      <c r="H52" s="9" t="s">
        <v>397</v>
      </c>
      <c r="I52" s="3"/>
      <c r="K52" s="3" t="s">
        <v>59</v>
      </c>
      <c r="L52" s="3">
        <v>46</v>
      </c>
      <c r="M52" s="3">
        <v>0.92600000000000005</v>
      </c>
      <c r="N52" s="3">
        <v>0.27</v>
      </c>
      <c r="O52" s="3">
        <v>3.46</v>
      </c>
      <c r="P52" s="3" t="s">
        <v>9</v>
      </c>
      <c r="Q52" s="3" t="s">
        <v>97</v>
      </c>
      <c r="R52" s="3" t="s">
        <v>404</v>
      </c>
      <c r="S52" s="3"/>
    </row>
    <row r="53" spans="1:19" x14ac:dyDescent="0.3">
      <c r="A53" s="3" t="s">
        <v>110</v>
      </c>
      <c r="B53" s="3">
        <v>114</v>
      </c>
      <c r="C53" s="3">
        <v>1.03</v>
      </c>
      <c r="D53" s="3">
        <v>0.2</v>
      </c>
      <c r="E53" s="3">
        <v>5.19</v>
      </c>
      <c r="F53" s="3" t="s">
        <v>9</v>
      </c>
      <c r="G53" s="3" t="s">
        <v>24</v>
      </c>
      <c r="H53" s="10" t="s">
        <v>412</v>
      </c>
      <c r="I53" s="3"/>
      <c r="K53" s="3" t="s">
        <v>117</v>
      </c>
      <c r="L53" s="3">
        <v>44.6</v>
      </c>
      <c r="M53" s="3">
        <v>0.87</v>
      </c>
      <c r="N53" s="3">
        <v>0.25</v>
      </c>
      <c r="O53" s="3">
        <v>3.46</v>
      </c>
      <c r="P53" s="3" t="s">
        <v>9</v>
      </c>
      <c r="Q53" s="3" t="s">
        <v>97</v>
      </c>
      <c r="R53" s="9" t="s">
        <v>414</v>
      </c>
      <c r="S53" s="3"/>
    </row>
    <row r="54" spans="1:19" x14ac:dyDescent="0.3">
      <c r="A54" s="3" t="s">
        <v>112</v>
      </c>
      <c r="B54" s="3">
        <v>92.8</v>
      </c>
      <c r="C54" s="3">
        <v>1.37</v>
      </c>
      <c r="D54" s="3">
        <v>0.27</v>
      </c>
      <c r="E54" s="3">
        <v>5.16</v>
      </c>
      <c r="F54" s="3" t="s">
        <v>9</v>
      </c>
      <c r="G54" s="3" t="s">
        <v>24</v>
      </c>
      <c r="H54" s="11" t="s">
        <v>413</v>
      </c>
      <c r="I54" s="3"/>
      <c r="K54" s="3" t="s">
        <v>65</v>
      </c>
      <c r="L54" s="3">
        <v>29.3</v>
      </c>
      <c r="M54" s="3">
        <v>1.06</v>
      </c>
      <c r="N54" s="3">
        <v>0.31</v>
      </c>
      <c r="O54" s="3">
        <v>3.47</v>
      </c>
      <c r="P54" s="3" t="s">
        <v>9</v>
      </c>
      <c r="Q54" s="3" t="s">
        <v>97</v>
      </c>
      <c r="R54" s="3" t="s">
        <v>432</v>
      </c>
      <c r="S54" s="3"/>
    </row>
    <row r="55" spans="1:19" x14ac:dyDescent="0.3">
      <c r="A55" s="13" t="s">
        <v>113</v>
      </c>
      <c r="B55" s="3">
        <v>441</v>
      </c>
      <c r="C55" s="3">
        <v>0.70299999999999996</v>
      </c>
      <c r="D55" s="3">
        <v>0.14000000000000001</v>
      </c>
      <c r="E55" s="3">
        <v>5.16</v>
      </c>
      <c r="F55" s="3" t="s">
        <v>9</v>
      </c>
      <c r="G55" s="3" t="s">
        <v>24</v>
      </c>
      <c r="H55" s="16" t="s">
        <v>437</v>
      </c>
      <c r="I55" s="3"/>
      <c r="K55" s="3" t="s">
        <v>101</v>
      </c>
      <c r="L55" s="3">
        <v>187</v>
      </c>
      <c r="M55" s="3">
        <v>0.625</v>
      </c>
      <c r="N55" s="3">
        <v>0.18</v>
      </c>
      <c r="O55" s="3">
        <v>3.44</v>
      </c>
      <c r="P55" s="3" t="s">
        <v>9</v>
      </c>
      <c r="Q55" s="3" t="s">
        <v>97</v>
      </c>
      <c r="R55" s="3"/>
      <c r="S55" s="3"/>
    </row>
    <row r="56" spans="1:19" x14ac:dyDescent="0.3">
      <c r="A56" s="3" t="s">
        <v>46</v>
      </c>
      <c r="B56" s="3">
        <v>79.099999999999994</v>
      </c>
      <c r="C56" s="3">
        <v>0.98199999999999998</v>
      </c>
      <c r="D56" s="3">
        <v>0.19</v>
      </c>
      <c r="E56" s="3">
        <v>5.15</v>
      </c>
      <c r="F56" s="3" t="s">
        <v>9</v>
      </c>
      <c r="G56" s="3" t="s">
        <v>24</v>
      </c>
      <c r="H56" s="3" t="s">
        <v>429</v>
      </c>
      <c r="I56" s="3"/>
      <c r="K56" s="3" t="s">
        <v>121</v>
      </c>
      <c r="L56" s="3">
        <v>225</v>
      </c>
      <c r="M56" s="3">
        <v>0.876</v>
      </c>
      <c r="N56" s="3">
        <v>0.26</v>
      </c>
      <c r="O56" s="3">
        <v>3.4</v>
      </c>
      <c r="P56" s="3" t="s">
        <v>9</v>
      </c>
      <c r="Q56" s="3" t="s">
        <v>119</v>
      </c>
      <c r="R56" s="3"/>
      <c r="S56" s="3"/>
    </row>
    <row r="57" spans="1:19" x14ac:dyDescent="0.3">
      <c r="A57" s="13" t="s">
        <v>115</v>
      </c>
      <c r="B57" s="3">
        <v>151</v>
      </c>
      <c r="C57" s="3">
        <v>0.77300000000000002</v>
      </c>
      <c r="D57" s="3">
        <v>0.15</v>
      </c>
      <c r="E57" s="3">
        <v>5.13</v>
      </c>
      <c r="F57" s="3" t="s">
        <v>9</v>
      </c>
      <c r="G57" s="3" t="s">
        <v>24</v>
      </c>
      <c r="H57" s="10" t="s">
        <v>402</v>
      </c>
      <c r="I57" s="3"/>
      <c r="K57" s="3" t="s">
        <v>123</v>
      </c>
      <c r="L57" s="3">
        <v>96.5</v>
      </c>
      <c r="M57" s="3">
        <v>0.66300000000000003</v>
      </c>
      <c r="N57" s="3">
        <v>0.19</v>
      </c>
      <c r="O57" s="3">
        <v>3.4</v>
      </c>
      <c r="P57" s="3" t="s">
        <v>9</v>
      </c>
      <c r="Q57" s="3" t="s">
        <v>119</v>
      </c>
      <c r="R57" s="3"/>
      <c r="S57" s="3"/>
    </row>
    <row r="58" spans="1:19" x14ac:dyDescent="0.3">
      <c r="A58" s="3" t="s">
        <v>44</v>
      </c>
      <c r="B58" s="3">
        <v>192</v>
      </c>
      <c r="C58" s="3">
        <v>0.76100000000000001</v>
      </c>
      <c r="D58" s="3">
        <v>0.15</v>
      </c>
      <c r="E58" s="3">
        <v>5.1100000000000003</v>
      </c>
      <c r="F58" s="3" t="s">
        <v>9</v>
      </c>
      <c r="G58" s="3" t="s">
        <v>24</v>
      </c>
      <c r="H58" s="9" t="s">
        <v>397</v>
      </c>
      <c r="I58" s="3"/>
      <c r="K58" s="3" t="s">
        <v>45</v>
      </c>
      <c r="L58" s="3">
        <v>49.9</v>
      </c>
      <c r="M58" s="3">
        <v>0.96599999999999997</v>
      </c>
      <c r="N58" s="3">
        <v>0.28000000000000003</v>
      </c>
      <c r="O58" s="3">
        <v>3.4</v>
      </c>
      <c r="P58" s="3" t="s">
        <v>9</v>
      </c>
      <c r="Q58" s="3" t="s">
        <v>119</v>
      </c>
      <c r="R58" s="3"/>
      <c r="S58" s="3"/>
    </row>
    <row r="59" spans="1:19" x14ac:dyDescent="0.3">
      <c r="A59" s="3" t="s">
        <v>36</v>
      </c>
      <c r="B59" s="3">
        <v>73</v>
      </c>
      <c r="C59" s="3">
        <v>1.33</v>
      </c>
      <c r="D59" s="3">
        <v>0.26</v>
      </c>
      <c r="E59" s="3">
        <v>5.0599999999999996</v>
      </c>
      <c r="F59" s="3" t="s">
        <v>9</v>
      </c>
      <c r="G59" s="3" t="s">
        <v>24</v>
      </c>
      <c r="H59" s="11" t="s">
        <v>413</v>
      </c>
      <c r="I59" s="3"/>
      <c r="K59" s="13" t="s">
        <v>127</v>
      </c>
      <c r="L59" s="3">
        <v>46.1</v>
      </c>
      <c r="M59" s="3">
        <v>0.79600000000000004</v>
      </c>
      <c r="N59" s="3">
        <v>0.23</v>
      </c>
      <c r="O59" s="3">
        <v>3.42</v>
      </c>
      <c r="P59" s="3" t="s">
        <v>9</v>
      </c>
      <c r="Q59" s="3" t="s">
        <v>119</v>
      </c>
      <c r="R59" s="11" t="s">
        <v>425</v>
      </c>
      <c r="S59" s="3"/>
    </row>
    <row r="60" spans="1:19" x14ac:dyDescent="0.3">
      <c r="A60" s="3" t="s">
        <v>27</v>
      </c>
      <c r="B60" s="3">
        <v>51.5</v>
      </c>
      <c r="C60" s="3">
        <v>1.0900000000000001</v>
      </c>
      <c r="D60" s="3">
        <v>0.21</v>
      </c>
      <c r="E60" s="3">
        <v>5.0599999999999996</v>
      </c>
      <c r="F60" s="3" t="s">
        <v>9</v>
      </c>
      <c r="G60" s="3" t="s">
        <v>24</v>
      </c>
      <c r="H60" s="10" t="s">
        <v>419</v>
      </c>
      <c r="I60" s="3"/>
      <c r="K60" s="13" t="s">
        <v>131</v>
      </c>
      <c r="L60" s="3">
        <v>45.1</v>
      </c>
      <c r="M60" s="3">
        <v>7.49</v>
      </c>
      <c r="N60" s="3">
        <v>2.2000000000000002</v>
      </c>
      <c r="O60" s="3">
        <v>3.42</v>
      </c>
      <c r="P60" s="3" t="s">
        <v>9</v>
      </c>
      <c r="Q60" s="3" t="s">
        <v>119</v>
      </c>
      <c r="R60" s="3" t="s">
        <v>25</v>
      </c>
      <c r="S60" s="3"/>
    </row>
    <row r="61" spans="1:19" x14ac:dyDescent="0.3">
      <c r="A61" s="13" t="s">
        <v>118</v>
      </c>
      <c r="B61" s="3">
        <v>178</v>
      </c>
      <c r="C61" s="3">
        <v>0.64800000000000002</v>
      </c>
      <c r="D61" s="3">
        <v>0.13</v>
      </c>
      <c r="E61" s="3">
        <v>5.05</v>
      </c>
      <c r="F61" s="3" t="s">
        <v>9</v>
      </c>
      <c r="G61" s="3" t="s">
        <v>24</v>
      </c>
      <c r="H61" s="9" t="s">
        <v>397</v>
      </c>
      <c r="I61" s="3"/>
      <c r="K61" s="14" t="s">
        <v>125</v>
      </c>
      <c r="L61" s="6">
        <v>97.9</v>
      </c>
      <c r="M61" s="6">
        <v>-0.71899999999999997</v>
      </c>
      <c r="N61" s="6">
        <v>0.21</v>
      </c>
      <c r="O61" s="6">
        <v>-3.41</v>
      </c>
      <c r="P61" s="6" t="s">
        <v>9</v>
      </c>
      <c r="Q61" s="6" t="s">
        <v>119</v>
      </c>
      <c r="R61" s="6" t="s">
        <v>426</v>
      </c>
      <c r="S61" s="6"/>
    </row>
    <row r="62" spans="1:19" x14ac:dyDescent="0.3">
      <c r="A62" s="3" t="s">
        <v>120</v>
      </c>
      <c r="B62" s="3">
        <v>70.8</v>
      </c>
      <c r="C62" s="3">
        <v>1.06</v>
      </c>
      <c r="D62" s="3">
        <v>0.21</v>
      </c>
      <c r="E62" s="3">
        <v>5.05</v>
      </c>
      <c r="F62" s="3" t="s">
        <v>9</v>
      </c>
      <c r="G62" s="3" t="s">
        <v>24</v>
      </c>
      <c r="H62" s="3" t="s">
        <v>438</v>
      </c>
      <c r="I62" s="3"/>
      <c r="K62" s="14" t="s">
        <v>129</v>
      </c>
      <c r="L62" s="6">
        <v>30.8</v>
      </c>
      <c r="M62" s="6">
        <v>-1.1200000000000001</v>
      </c>
      <c r="N62" s="6">
        <v>0.33</v>
      </c>
      <c r="O62" s="6">
        <v>-3.4</v>
      </c>
      <c r="P62" s="6" t="s">
        <v>9</v>
      </c>
      <c r="Q62" s="6" t="s">
        <v>119</v>
      </c>
      <c r="R62" s="12" t="s">
        <v>427</v>
      </c>
      <c r="S62" s="6"/>
    </row>
    <row r="63" spans="1:19" x14ac:dyDescent="0.3">
      <c r="A63" s="6" t="s">
        <v>69</v>
      </c>
      <c r="B63" s="6">
        <v>101</v>
      </c>
      <c r="C63" s="6">
        <v>-0.94299999999999995</v>
      </c>
      <c r="D63" s="6">
        <v>0.19</v>
      </c>
      <c r="E63" s="6">
        <v>-5.05</v>
      </c>
      <c r="F63" s="6" t="s">
        <v>9</v>
      </c>
      <c r="G63" s="6" t="s">
        <v>24</v>
      </c>
      <c r="H63" s="12" t="s">
        <v>416</v>
      </c>
      <c r="I63" s="6"/>
      <c r="K63" s="3" t="s">
        <v>106</v>
      </c>
      <c r="L63" s="3">
        <v>230</v>
      </c>
      <c r="M63" s="3">
        <v>0.66800000000000004</v>
      </c>
      <c r="N63" s="3">
        <v>0.2</v>
      </c>
      <c r="O63" s="3">
        <v>3.38</v>
      </c>
      <c r="P63" s="3" t="s">
        <v>9</v>
      </c>
      <c r="Q63" s="3" t="s">
        <v>119</v>
      </c>
      <c r="R63" s="11" t="s">
        <v>415</v>
      </c>
      <c r="S63" s="3"/>
    </row>
    <row r="64" spans="1:19" x14ac:dyDescent="0.3">
      <c r="A64" s="13" t="s">
        <v>122</v>
      </c>
      <c r="B64" s="3">
        <v>1610</v>
      </c>
      <c r="C64" s="3">
        <v>0.747</v>
      </c>
      <c r="D64" s="3">
        <v>0.15</v>
      </c>
      <c r="E64" s="3">
        <v>5.04</v>
      </c>
      <c r="F64" s="3" t="s">
        <v>9</v>
      </c>
      <c r="G64" s="3" t="s">
        <v>24</v>
      </c>
      <c r="H64" s="10" t="s">
        <v>402</v>
      </c>
      <c r="I64" s="3"/>
      <c r="K64" s="3" t="s">
        <v>134</v>
      </c>
      <c r="L64" s="3">
        <v>88.2</v>
      </c>
      <c r="M64" s="3">
        <v>0.753</v>
      </c>
      <c r="N64" s="3">
        <v>0.22</v>
      </c>
      <c r="O64" s="3">
        <v>3.38</v>
      </c>
      <c r="P64" s="3" t="s">
        <v>9</v>
      </c>
      <c r="Q64" s="3" t="s">
        <v>119</v>
      </c>
      <c r="R64" s="16" t="s">
        <v>428</v>
      </c>
      <c r="S64" s="3"/>
    </row>
    <row r="65" spans="1:19" x14ac:dyDescent="0.3">
      <c r="A65" s="3" t="s">
        <v>124</v>
      </c>
      <c r="B65" s="3">
        <v>90</v>
      </c>
      <c r="C65" s="3">
        <v>0.89600000000000002</v>
      </c>
      <c r="D65" s="3">
        <v>0.18</v>
      </c>
      <c r="E65" s="3">
        <v>5.01</v>
      </c>
      <c r="F65" s="3" t="s">
        <v>9</v>
      </c>
      <c r="G65" s="3" t="s">
        <v>24</v>
      </c>
      <c r="H65" s="9" t="s">
        <v>397</v>
      </c>
      <c r="I65" s="3"/>
      <c r="K65" s="3" t="s">
        <v>136</v>
      </c>
      <c r="L65" s="3">
        <v>76.3</v>
      </c>
      <c r="M65" s="3">
        <v>0.70199999999999996</v>
      </c>
      <c r="N65" s="3">
        <v>0.21</v>
      </c>
      <c r="O65" s="3">
        <v>3.38</v>
      </c>
      <c r="P65" s="3" t="s">
        <v>9</v>
      </c>
      <c r="Q65" s="3" t="s">
        <v>119</v>
      </c>
      <c r="R65" s="9" t="s">
        <v>414</v>
      </c>
      <c r="S65" s="3"/>
    </row>
    <row r="66" spans="1:19" x14ac:dyDescent="0.3">
      <c r="A66" s="3" t="s">
        <v>73</v>
      </c>
      <c r="B66" s="3">
        <v>339</v>
      </c>
      <c r="C66" s="3">
        <v>1.33</v>
      </c>
      <c r="D66" s="3">
        <v>0.27</v>
      </c>
      <c r="E66" s="3">
        <v>5.01</v>
      </c>
      <c r="F66" s="3" t="s">
        <v>9</v>
      </c>
      <c r="G66" s="3" t="s">
        <v>24</v>
      </c>
      <c r="H66" s="10" t="s">
        <v>431</v>
      </c>
      <c r="I66" s="3"/>
      <c r="K66" s="3" t="s">
        <v>138</v>
      </c>
      <c r="L66" s="3">
        <v>222</v>
      </c>
      <c r="M66" s="3">
        <v>0.88100000000000001</v>
      </c>
      <c r="N66" s="3">
        <v>0.26</v>
      </c>
      <c r="O66" s="3">
        <v>3.37</v>
      </c>
      <c r="P66" s="3" t="s">
        <v>9</v>
      </c>
      <c r="Q66" s="3" t="s">
        <v>119</v>
      </c>
      <c r="R66" s="3"/>
      <c r="S66" s="3"/>
    </row>
    <row r="67" spans="1:19" x14ac:dyDescent="0.3">
      <c r="A67" s="13" t="s">
        <v>126</v>
      </c>
      <c r="B67" s="3">
        <v>222</v>
      </c>
      <c r="C67" s="3">
        <v>0.621</v>
      </c>
      <c r="D67" s="3">
        <v>0.13</v>
      </c>
      <c r="E67" s="3">
        <v>4.95</v>
      </c>
      <c r="F67" s="3" t="s">
        <v>9</v>
      </c>
      <c r="G67" s="3" t="s">
        <v>24</v>
      </c>
      <c r="H67" s="9" t="s">
        <v>397</v>
      </c>
      <c r="I67" s="3"/>
      <c r="K67" s="3" t="s">
        <v>140</v>
      </c>
      <c r="L67" s="3">
        <v>154</v>
      </c>
      <c r="M67" s="3">
        <v>0.69</v>
      </c>
      <c r="N67" s="3">
        <v>0.2</v>
      </c>
      <c r="O67" s="3">
        <v>3.37</v>
      </c>
      <c r="P67" s="3" t="s">
        <v>9</v>
      </c>
      <c r="Q67" s="3" t="s">
        <v>119</v>
      </c>
      <c r="R67" s="3"/>
      <c r="S67" s="3"/>
    </row>
    <row r="68" spans="1:19" x14ac:dyDescent="0.3">
      <c r="A68" s="3" t="s">
        <v>128</v>
      </c>
      <c r="B68" s="3">
        <v>599</v>
      </c>
      <c r="C68" s="3">
        <v>1.23</v>
      </c>
      <c r="D68" s="3">
        <v>0.25</v>
      </c>
      <c r="E68" s="3">
        <v>4.93</v>
      </c>
      <c r="F68" s="3" t="s">
        <v>9</v>
      </c>
      <c r="G68" s="3" t="s">
        <v>24</v>
      </c>
      <c r="H68" s="9" t="s">
        <v>397</v>
      </c>
      <c r="I68" s="3"/>
      <c r="K68" s="3" t="s">
        <v>120</v>
      </c>
      <c r="L68" s="3">
        <v>64.099999999999994</v>
      </c>
      <c r="M68" s="3">
        <v>0.80600000000000005</v>
      </c>
      <c r="N68" s="3">
        <v>0.24</v>
      </c>
      <c r="O68" s="3">
        <v>3.36</v>
      </c>
      <c r="P68" s="3" t="s">
        <v>9</v>
      </c>
      <c r="Q68" s="3" t="s">
        <v>141</v>
      </c>
      <c r="R68" s="3" t="s">
        <v>438</v>
      </c>
      <c r="S68" s="3"/>
    </row>
    <row r="69" spans="1:19" x14ac:dyDescent="0.3">
      <c r="A69" s="13" t="s">
        <v>130</v>
      </c>
      <c r="B69" s="3">
        <v>52.5</v>
      </c>
      <c r="C69" s="3">
        <v>1.31</v>
      </c>
      <c r="D69" s="3">
        <v>0.27</v>
      </c>
      <c r="E69" s="3">
        <v>4.92</v>
      </c>
      <c r="F69" s="3" t="s">
        <v>9</v>
      </c>
      <c r="G69" s="3" t="s">
        <v>24</v>
      </c>
      <c r="H69" s="3" t="s">
        <v>439</v>
      </c>
      <c r="I69" s="3"/>
      <c r="K69" s="3" t="s">
        <v>89</v>
      </c>
      <c r="L69" s="3">
        <v>744</v>
      </c>
      <c r="M69" s="3">
        <v>0.76600000000000001</v>
      </c>
      <c r="N69" s="3">
        <v>0.23</v>
      </c>
      <c r="O69" s="3">
        <v>3.35</v>
      </c>
      <c r="P69" s="3" t="s">
        <v>9</v>
      </c>
      <c r="Q69" s="3" t="s">
        <v>141</v>
      </c>
      <c r="R69" s="9" t="s">
        <v>397</v>
      </c>
      <c r="S69" s="3"/>
    </row>
    <row r="70" spans="1:19" x14ac:dyDescent="0.3">
      <c r="A70" s="13" t="s">
        <v>66</v>
      </c>
      <c r="B70" s="3">
        <v>136</v>
      </c>
      <c r="C70" s="3">
        <v>0.76500000000000001</v>
      </c>
      <c r="D70" s="3">
        <v>0.16</v>
      </c>
      <c r="E70" s="3">
        <v>4.9000000000000004</v>
      </c>
      <c r="F70" s="3" t="s">
        <v>9</v>
      </c>
      <c r="G70" s="3" t="s">
        <v>24</v>
      </c>
      <c r="H70" s="10" t="s">
        <v>412</v>
      </c>
      <c r="I70" s="3"/>
      <c r="K70" s="3" t="s">
        <v>144</v>
      </c>
      <c r="L70" s="3">
        <v>287</v>
      </c>
      <c r="M70" s="3">
        <v>0.65</v>
      </c>
      <c r="N70" s="3">
        <v>0.19</v>
      </c>
      <c r="O70" s="3">
        <v>3.35</v>
      </c>
      <c r="P70" s="3" t="s">
        <v>9</v>
      </c>
      <c r="Q70" s="3" t="s">
        <v>141</v>
      </c>
      <c r="R70" s="3"/>
      <c r="S70" s="3"/>
    </row>
    <row r="71" spans="1:19" x14ac:dyDescent="0.3">
      <c r="A71" s="13" t="s">
        <v>132</v>
      </c>
      <c r="B71" s="3">
        <v>24.8</v>
      </c>
      <c r="C71" s="3">
        <v>1.77</v>
      </c>
      <c r="D71" s="3">
        <v>0.36</v>
      </c>
      <c r="E71" s="3">
        <v>4.8899999999999997</v>
      </c>
      <c r="F71" s="3" t="s">
        <v>9</v>
      </c>
      <c r="G71" s="3" t="s">
        <v>24</v>
      </c>
      <c r="H71" s="3" t="s">
        <v>442</v>
      </c>
      <c r="I71" s="3"/>
      <c r="K71" s="3" t="s">
        <v>52</v>
      </c>
      <c r="L71" s="3">
        <v>315</v>
      </c>
      <c r="M71" s="3">
        <v>0.71499999999999997</v>
      </c>
      <c r="N71" s="3">
        <v>0.21</v>
      </c>
      <c r="O71" s="3">
        <v>3.33</v>
      </c>
      <c r="P71" s="3" t="s">
        <v>9</v>
      </c>
      <c r="Q71" s="3" t="s">
        <v>145</v>
      </c>
      <c r="R71" s="3"/>
      <c r="S71" s="3"/>
    </row>
    <row r="72" spans="1:19" x14ac:dyDescent="0.3">
      <c r="A72" s="3" t="s">
        <v>133</v>
      </c>
      <c r="B72" s="3">
        <v>472</v>
      </c>
      <c r="C72" s="3">
        <v>0.86899999999999999</v>
      </c>
      <c r="D72" s="3">
        <v>0.18</v>
      </c>
      <c r="E72" s="3">
        <v>4.84</v>
      </c>
      <c r="F72" s="3" t="s">
        <v>9</v>
      </c>
      <c r="G72" s="3" t="s">
        <v>24</v>
      </c>
      <c r="H72" s="10" t="s">
        <v>412</v>
      </c>
      <c r="I72" s="3"/>
      <c r="K72" s="3" t="s">
        <v>147</v>
      </c>
      <c r="L72" s="3">
        <v>64.3</v>
      </c>
      <c r="M72" s="3">
        <v>0.89700000000000002</v>
      </c>
      <c r="N72" s="3">
        <v>0.27</v>
      </c>
      <c r="O72" s="3">
        <v>3.33</v>
      </c>
      <c r="P72" s="3" t="s">
        <v>9</v>
      </c>
      <c r="Q72" s="3" t="s">
        <v>145</v>
      </c>
      <c r="R72" s="3"/>
      <c r="S72" s="3"/>
    </row>
    <row r="73" spans="1:19" x14ac:dyDescent="0.3">
      <c r="A73" s="3" t="s">
        <v>116</v>
      </c>
      <c r="B73" s="3">
        <v>41.6</v>
      </c>
      <c r="C73" s="3">
        <v>2.0499999999999998</v>
      </c>
      <c r="D73" s="3">
        <v>0.43</v>
      </c>
      <c r="E73" s="3">
        <v>4.83</v>
      </c>
      <c r="F73" s="3" t="s">
        <v>9</v>
      </c>
      <c r="G73" s="3" t="s">
        <v>24</v>
      </c>
      <c r="H73" s="10" t="s">
        <v>433</v>
      </c>
      <c r="I73" s="3"/>
      <c r="K73" s="3" t="s">
        <v>148</v>
      </c>
      <c r="L73" s="3">
        <v>98</v>
      </c>
      <c r="M73" s="3">
        <v>0.71199999999999997</v>
      </c>
      <c r="N73" s="3">
        <v>0.21</v>
      </c>
      <c r="O73" s="3">
        <v>3.33</v>
      </c>
      <c r="P73" s="3" t="s">
        <v>9</v>
      </c>
      <c r="Q73" s="3" t="s">
        <v>145</v>
      </c>
      <c r="R73" s="3"/>
      <c r="S73" s="3"/>
    </row>
    <row r="74" spans="1:19" x14ac:dyDescent="0.3">
      <c r="A74" s="13" t="s">
        <v>135</v>
      </c>
      <c r="B74" s="3">
        <v>552</v>
      </c>
      <c r="C74" s="3">
        <v>0.68</v>
      </c>
      <c r="D74" s="3">
        <v>0.14000000000000001</v>
      </c>
      <c r="E74" s="3">
        <v>4.83</v>
      </c>
      <c r="F74" s="3" t="s">
        <v>9</v>
      </c>
      <c r="G74" s="3" t="s">
        <v>24</v>
      </c>
      <c r="H74" s="9" t="s">
        <v>397</v>
      </c>
      <c r="I74" s="3"/>
      <c r="K74" s="3" t="s">
        <v>153</v>
      </c>
      <c r="L74" s="3">
        <v>31.1</v>
      </c>
      <c r="M74" s="3">
        <v>1.02</v>
      </c>
      <c r="N74" s="3">
        <v>0.31</v>
      </c>
      <c r="O74" s="3">
        <v>3.31</v>
      </c>
      <c r="P74" s="3" t="s">
        <v>9</v>
      </c>
      <c r="Q74" s="3" t="s">
        <v>150</v>
      </c>
      <c r="R74" s="3"/>
      <c r="S74" s="3"/>
    </row>
    <row r="75" spans="1:19" x14ac:dyDescent="0.3">
      <c r="A75" s="3" t="s">
        <v>137</v>
      </c>
      <c r="B75" s="3">
        <v>82.9</v>
      </c>
      <c r="C75" s="3">
        <v>0.93</v>
      </c>
      <c r="D75" s="3">
        <v>0.19</v>
      </c>
      <c r="E75" s="3">
        <v>4.8099999999999996</v>
      </c>
      <c r="F75" s="3" t="s">
        <v>9</v>
      </c>
      <c r="G75" s="3" t="s">
        <v>24</v>
      </c>
      <c r="H75" s="9" t="s">
        <v>414</v>
      </c>
      <c r="I75" s="3"/>
      <c r="K75" s="3" t="s">
        <v>156</v>
      </c>
      <c r="L75" s="3">
        <v>169</v>
      </c>
      <c r="M75" s="3">
        <v>0.70299999999999996</v>
      </c>
      <c r="N75" s="3">
        <v>0.21</v>
      </c>
      <c r="O75" s="3">
        <v>3.3</v>
      </c>
      <c r="P75" s="3" t="s">
        <v>9</v>
      </c>
      <c r="Q75" s="3" t="s">
        <v>150</v>
      </c>
      <c r="R75" s="3"/>
      <c r="S75" s="3"/>
    </row>
    <row r="76" spans="1:19" x14ac:dyDescent="0.3">
      <c r="A76" s="13" t="s">
        <v>139</v>
      </c>
      <c r="B76" s="3">
        <v>169</v>
      </c>
      <c r="C76" s="3">
        <v>0.82</v>
      </c>
      <c r="D76" s="3">
        <v>0.17</v>
      </c>
      <c r="E76" s="3">
        <v>4.8</v>
      </c>
      <c r="F76" s="3" t="s">
        <v>9</v>
      </c>
      <c r="G76" s="3" t="s">
        <v>24</v>
      </c>
      <c r="H76" s="11" t="s">
        <v>413</v>
      </c>
      <c r="I76" s="3"/>
      <c r="K76" s="13" t="s">
        <v>158</v>
      </c>
      <c r="L76" s="3">
        <v>38.5</v>
      </c>
      <c r="M76" s="3">
        <v>0.874</v>
      </c>
      <c r="N76" s="3">
        <v>0.27</v>
      </c>
      <c r="O76" s="3">
        <v>3.3</v>
      </c>
      <c r="P76" s="3" t="s">
        <v>9</v>
      </c>
      <c r="Q76" s="3" t="s">
        <v>150</v>
      </c>
      <c r="R76" s="15" t="s">
        <v>409</v>
      </c>
      <c r="S76" s="3"/>
    </row>
    <row r="77" spans="1:19" x14ac:dyDescent="0.3">
      <c r="A77" s="3" t="s">
        <v>138</v>
      </c>
      <c r="B77" s="3">
        <v>246</v>
      </c>
      <c r="C77" s="3">
        <v>1.1499999999999999</v>
      </c>
      <c r="D77" s="3">
        <v>0.24</v>
      </c>
      <c r="E77" s="3">
        <v>4.7699999999999996</v>
      </c>
      <c r="F77" s="3" t="s">
        <v>9</v>
      </c>
      <c r="G77" s="3" t="s">
        <v>24</v>
      </c>
      <c r="H77" s="10" t="s">
        <v>412</v>
      </c>
      <c r="I77" s="3"/>
      <c r="K77" s="3" t="s">
        <v>160</v>
      </c>
      <c r="L77" s="3">
        <v>105</v>
      </c>
      <c r="M77" s="3">
        <v>0.65</v>
      </c>
      <c r="N77" s="3">
        <v>0.2</v>
      </c>
      <c r="O77" s="3">
        <v>3.29</v>
      </c>
      <c r="P77" s="3">
        <v>1E-3</v>
      </c>
      <c r="Q77" s="3" t="s">
        <v>150</v>
      </c>
      <c r="R77" s="9" t="s">
        <v>397</v>
      </c>
      <c r="S77" s="3"/>
    </row>
    <row r="78" spans="1:19" x14ac:dyDescent="0.3">
      <c r="A78" s="13" t="s">
        <v>142</v>
      </c>
      <c r="B78" s="3">
        <v>243</v>
      </c>
      <c r="C78" s="3">
        <v>0.92200000000000004</v>
      </c>
      <c r="D78" s="3">
        <v>0.19</v>
      </c>
      <c r="E78" s="3">
        <v>4.75</v>
      </c>
      <c r="F78" s="3" t="s">
        <v>9</v>
      </c>
      <c r="G78" s="3" t="s">
        <v>24</v>
      </c>
      <c r="H78" s="9" t="s">
        <v>397</v>
      </c>
      <c r="I78" s="3"/>
      <c r="K78" s="3" t="s">
        <v>162</v>
      </c>
      <c r="L78" s="3">
        <v>75.5</v>
      </c>
      <c r="M78" s="3">
        <v>0.77600000000000002</v>
      </c>
      <c r="N78" s="3">
        <v>0.24</v>
      </c>
      <c r="O78" s="3">
        <v>3.28</v>
      </c>
      <c r="P78" s="3">
        <v>1E-3</v>
      </c>
      <c r="Q78" s="3" t="s">
        <v>150</v>
      </c>
      <c r="R78" s="3"/>
      <c r="S78" s="3"/>
    </row>
    <row r="79" spans="1:19" x14ac:dyDescent="0.3">
      <c r="A79" s="13" t="s">
        <v>143</v>
      </c>
      <c r="B79" s="3">
        <v>293</v>
      </c>
      <c r="C79" s="3">
        <v>0.73699999999999999</v>
      </c>
      <c r="D79" s="3">
        <v>0.16</v>
      </c>
      <c r="E79" s="3">
        <v>4.71</v>
      </c>
      <c r="F79" s="3" t="s">
        <v>9</v>
      </c>
      <c r="G79" s="3" t="s">
        <v>24</v>
      </c>
      <c r="H79" s="11" t="s">
        <v>443</v>
      </c>
      <c r="I79" s="3"/>
      <c r="K79" s="3" t="s">
        <v>164</v>
      </c>
      <c r="L79" s="3">
        <v>51.3</v>
      </c>
      <c r="M79" s="3">
        <v>0.71399999999999997</v>
      </c>
      <c r="N79" s="3">
        <v>0.22</v>
      </c>
      <c r="O79" s="3">
        <v>3.28</v>
      </c>
      <c r="P79" s="3">
        <v>1E-3</v>
      </c>
      <c r="Q79" s="3" t="s">
        <v>150</v>
      </c>
      <c r="R79" s="3"/>
      <c r="S79" s="3"/>
    </row>
    <row r="80" spans="1:19" x14ac:dyDescent="0.3">
      <c r="A80" s="3" t="s">
        <v>63</v>
      </c>
      <c r="B80" s="3">
        <v>196</v>
      </c>
      <c r="C80" s="3">
        <v>0.86699999999999999</v>
      </c>
      <c r="D80" s="3">
        <v>0.18</v>
      </c>
      <c r="E80" s="3">
        <v>4.7</v>
      </c>
      <c r="F80" s="3" t="s">
        <v>9</v>
      </c>
      <c r="G80" s="3" t="s">
        <v>24</v>
      </c>
      <c r="H80" s="9" t="s">
        <v>397</v>
      </c>
      <c r="I80" s="3"/>
      <c r="K80" s="3" t="s">
        <v>133</v>
      </c>
      <c r="L80" s="3">
        <v>440</v>
      </c>
      <c r="M80" s="3">
        <v>0.65600000000000003</v>
      </c>
      <c r="N80" s="3">
        <v>0.2</v>
      </c>
      <c r="O80" s="3">
        <v>3.26</v>
      </c>
      <c r="P80" s="3">
        <v>1E-3</v>
      </c>
      <c r="Q80" s="3" t="s">
        <v>165</v>
      </c>
      <c r="R80" s="3"/>
      <c r="S80" s="3"/>
    </row>
    <row r="81" spans="1:19" x14ac:dyDescent="0.3">
      <c r="A81" s="3" t="s">
        <v>136</v>
      </c>
      <c r="B81" s="3">
        <v>80.099999999999994</v>
      </c>
      <c r="C81" s="3">
        <v>0.85599999999999998</v>
      </c>
      <c r="D81" s="3">
        <v>0.18</v>
      </c>
      <c r="E81" s="3">
        <v>4.6900000000000004</v>
      </c>
      <c r="F81" s="3" t="s">
        <v>9</v>
      </c>
      <c r="G81" s="3" t="s">
        <v>24</v>
      </c>
      <c r="H81" s="9" t="s">
        <v>414</v>
      </c>
      <c r="I81" s="3"/>
      <c r="K81" s="3" t="s">
        <v>167</v>
      </c>
      <c r="L81" s="3">
        <v>93.3</v>
      </c>
      <c r="M81" s="3">
        <v>0.74099999999999999</v>
      </c>
      <c r="N81" s="3">
        <v>0.23</v>
      </c>
      <c r="O81" s="3">
        <v>3.27</v>
      </c>
      <c r="P81" s="3">
        <v>1E-3</v>
      </c>
      <c r="Q81" s="3" t="s">
        <v>165</v>
      </c>
      <c r="R81" s="3"/>
      <c r="S81" s="3"/>
    </row>
    <row r="82" spans="1:19" x14ac:dyDescent="0.3">
      <c r="A82" s="13" t="s">
        <v>146</v>
      </c>
      <c r="B82" s="3">
        <v>75.5</v>
      </c>
      <c r="C82" s="3">
        <v>0.82099999999999995</v>
      </c>
      <c r="D82" s="3">
        <v>0.17</v>
      </c>
      <c r="E82" s="3">
        <v>4.7</v>
      </c>
      <c r="F82" s="3" t="s">
        <v>9</v>
      </c>
      <c r="G82" s="3" t="s">
        <v>24</v>
      </c>
      <c r="H82" s="9" t="s">
        <v>397</v>
      </c>
      <c r="I82" s="3"/>
      <c r="K82" s="3" t="s">
        <v>124</v>
      </c>
      <c r="L82" s="3">
        <v>83</v>
      </c>
      <c r="M82" s="3">
        <v>0.66200000000000003</v>
      </c>
      <c r="N82" s="3">
        <v>0.2</v>
      </c>
      <c r="O82" s="3">
        <v>3.26</v>
      </c>
      <c r="P82" s="3">
        <v>1E-3</v>
      </c>
      <c r="Q82" s="3" t="s">
        <v>165</v>
      </c>
      <c r="R82" s="9" t="s">
        <v>397</v>
      </c>
      <c r="S82" s="3"/>
    </row>
    <row r="83" spans="1:19" x14ac:dyDescent="0.3">
      <c r="A83" s="3" t="s">
        <v>117</v>
      </c>
      <c r="B83" s="3">
        <v>48.1</v>
      </c>
      <c r="C83" s="3">
        <v>1.08</v>
      </c>
      <c r="D83" s="3">
        <v>0.23</v>
      </c>
      <c r="E83" s="3">
        <v>4.6900000000000004</v>
      </c>
      <c r="F83" s="3" t="s">
        <v>9</v>
      </c>
      <c r="G83" s="3" t="s">
        <v>24</v>
      </c>
      <c r="H83" s="9" t="s">
        <v>414</v>
      </c>
      <c r="I83" s="3"/>
      <c r="K83" s="3" t="s">
        <v>169</v>
      </c>
      <c r="L83" s="3">
        <v>67.400000000000006</v>
      </c>
      <c r="M83" s="3">
        <v>0.72</v>
      </c>
      <c r="N83" s="3">
        <v>0.22</v>
      </c>
      <c r="O83" s="3">
        <v>3.26</v>
      </c>
      <c r="P83" s="3">
        <v>1E-3</v>
      </c>
      <c r="Q83" s="3" t="s">
        <v>165</v>
      </c>
      <c r="R83" s="3"/>
      <c r="S83" s="3"/>
    </row>
    <row r="84" spans="1:19" x14ac:dyDescent="0.3">
      <c r="A84" s="3" t="s">
        <v>121</v>
      </c>
      <c r="B84" s="3">
        <v>247</v>
      </c>
      <c r="C84" s="3">
        <v>1.1200000000000001</v>
      </c>
      <c r="D84" s="3">
        <v>0.24</v>
      </c>
      <c r="E84" s="3">
        <v>4.68</v>
      </c>
      <c r="F84" s="3" t="s">
        <v>9</v>
      </c>
      <c r="G84" s="3" t="s">
        <v>149</v>
      </c>
      <c r="H84" s="3"/>
      <c r="I84" s="3"/>
      <c r="K84" s="3" t="s">
        <v>171</v>
      </c>
      <c r="L84" s="3">
        <v>53.4</v>
      </c>
      <c r="M84" s="3">
        <v>0.80500000000000005</v>
      </c>
      <c r="N84" s="3">
        <v>0.25</v>
      </c>
      <c r="O84" s="3">
        <v>3.27</v>
      </c>
      <c r="P84" s="3">
        <v>1E-3</v>
      </c>
      <c r="Q84" s="3" t="s">
        <v>165</v>
      </c>
      <c r="R84" s="3"/>
      <c r="S84" s="3"/>
    </row>
    <row r="85" spans="1:19" x14ac:dyDescent="0.3">
      <c r="A85" s="3" t="s">
        <v>140</v>
      </c>
      <c r="B85" s="3">
        <v>165</v>
      </c>
      <c r="C85" s="3">
        <v>0.90200000000000002</v>
      </c>
      <c r="D85" s="3">
        <v>0.19</v>
      </c>
      <c r="E85" s="3">
        <v>4.6500000000000004</v>
      </c>
      <c r="F85" s="3" t="s">
        <v>9</v>
      </c>
      <c r="G85" s="3" t="s">
        <v>149</v>
      </c>
      <c r="H85" s="3"/>
      <c r="I85" s="3"/>
      <c r="K85" s="3" t="s">
        <v>128</v>
      </c>
      <c r="L85" s="3">
        <v>512</v>
      </c>
      <c r="M85" s="3">
        <v>0.85399999999999998</v>
      </c>
      <c r="N85" s="3">
        <v>0.26</v>
      </c>
      <c r="O85" s="3">
        <v>3.24</v>
      </c>
      <c r="P85" s="3">
        <v>1E-3</v>
      </c>
      <c r="Q85" s="3" t="s">
        <v>172</v>
      </c>
      <c r="R85" s="9" t="s">
        <v>397</v>
      </c>
      <c r="S85" s="3"/>
    </row>
    <row r="86" spans="1:19" x14ac:dyDescent="0.3">
      <c r="A86" s="3" t="s">
        <v>90</v>
      </c>
      <c r="B86" s="3">
        <v>162</v>
      </c>
      <c r="C86" s="3">
        <v>0.74199999999999999</v>
      </c>
      <c r="D86" s="3">
        <v>0.16</v>
      </c>
      <c r="E86" s="3">
        <v>4.6100000000000003</v>
      </c>
      <c r="F86" s="3" t="s">
        <v>9</v>
      </c>
      <c r="G86" s="3" t="s">
        <v>149</v>
      </c>
      <c r="H86" s="3"/>
      <c r="I86" s="3"/>
      <c r="K86" s="3" t="s">
        <v>75</v>
      </c>
      <c r="L86" s="3">
        <v>159</v>
      </c>
      <c r="M86" s="3">
        <v>0.63500000000000001</v>
      </c>
      <c r="N86" s="3">
        <v>0.2</v>
      </c>
      <c r="O86" s="3">
        <v>3.25</v>
      </c>
      <c r="P86" s="3">
        <v>1E-3</v>
      </c>
      <c r="Q86" s="3" t="s">
        <v>172</v>
      </c>
      <c r="R86" s="9" t="s">
        <v>397</v>
      </c>
      <c r="S86" s="3"/>
    </row>
    <row r="87" spans="1:19" x14ac:dyDescent="0.3">
      <c r="A87" s="13" t="s">
        <v>151</v>
      </c>
      <c r="B87" s="3">
        <v>352</v>
      </c>
      <c r="C87" s="3">
        <v>0.60199999999999998</v>
      </c>
      <c r="D87" s="3">
        <v>0.13</v>
      </c>
      <c r="E87" s="3">
        <v>4.6100000000000003</v>
      </c>
      <c r="F87" s="3" t="s">
        <v>9</v>
      </c>
      <c r="G87" s="3" t="s">
        <v>149</v>
      </c>
      <c r="H87" s="9" t="s">
        <v>397</v>
      </c>
      <c r="I87" s="3"/>
      <c r="K87" s="13" t="s">
        <v>174</v>
      </c>
      <c r="L87" s="3">
        <v>91.1</v>
      </c>
      <c r="M87" s="3">
        <v>0.72899999999999998</v>
      </c>
      <c r="N87" s="3">
        <v>0.23</v>
      </c>
      <c r="O87" s="3">
        <v>3.23</v>
      </c>
      <c r="P87" s="3">
        <v>1E-3</v>
      </c>
      <c r="Q87" s="3" t="s">
        <v>172</v>
      </c>
      <c r="R87" s="11" t="s">
        <v>423</v>
      </c>
      <c r="S87" s="3"/>
    </row>
    <row r="88" spans="1:19" x14ac:dyDescent="0.3">
      <c r="A88" s="13" t="s">
        <v>152</v>
      </c>
      <c r="B88" s="3">
        <v>122</v>
      </c>
      <c r="C88" s="3">
        <v>0.94399999999999995</v>
      </c>
      <c r="D88" s="3">
        <v>0.2</v>
      </c>
      <c r="E88" s="3">
        <v>4.6100000000000003</v>
      </c>
      <c r="F88" s="3" t="s">
        <v>9</v>
      </c>
      <c r="G88" s="3" t="s">
        <v>149</v>
      </c>
      <c r="H88" s="3"/>
      <c r="I88" s="3"/>
      <c r="K88" s="3" t="s">
        <v>177</v>
      </c>
      <c r="L88" s="3">
        <v>95.7</v>
      </c>
      <c r="M88" s="3">
        <v>0.58699999999999997</v>
      </c>
      <c r="N88" s="3">
        <v>0.18</v>
      </c>
      <c r="O88" s="3">
        <v>3.24</v>
      </c>
      <c r="P88" s="3">
        <v>1E-3</v>
      </c>
      <c r="Q88" s="3" t="s">
        <v>172</v>
      </c>
      <c r="R88" s="3"/>
      <c r="S88" s="3"/>
    </row>
    <row r="89" spans="1:19" x14ac:dyDescent="0.3">
      <c r="A89" s="3" t="s">
        <v>60</v>
      </c>
      <c r="B89" s="3">
        <v>295</v>
      </c>
      <c r="C89" s="3">
        <v>0.82699999999999996</v>
      </c>
      <c r="D89" s="3">
        <v>0.18</v>
      </c>
      <c r="E89" s="3">
        <v>4.58</v>
      </c>
      <c r="F89" s="3" t="s">
        <v>9</v>
      </c>
      <c r="G89" s="3" t="s">
        <v>154</v>
      </c>
      <c r="H89" s="9" t="s">
        <v>397</v>
      </c>
      <c r="I89" s="3"/>
      <c r="K89" s="3" t="s">
        <v>78</v>
      </c>
      <c r="L89" s="3">
        <v>390</v>
      </c>
      <c r="M89" s="3">
        <v>0.73599999999999999</v>
      </c>
      <c r="N89" s="3">
        <v>0.23</v>
      </c>
      <c r="O89" s="3">
        <v>3.22</v>
      </c>
      <c r="P89" s="3">
        <v>1E-3</v>
      </c>
      <c r="Q89" s="3" t="s">
        <v>179</v>
      </c>
      <c r="R89" s="9" t="s">
        <v>397</v>
      </c>
      <c r="S89" s="3"/>
    </row>
    <row r="90" spans="1:19" x14ac:dyDescent="0.3">
      <c r="A90" s="3" t="s">
        <v>134</v>
      </c>
      <c r="B90" s="3">
        <v>91.7</v>
      </c>
      <c r="C90" s="3">
        <v>0.89200000000000002</v>
      </c>
      <c r="D90" s="3">
        <v>0.2</v>
      </c>
      <c r="E90" s="3">
        <v>4.57</v>
      </c>
      <c r="F90" s="3" t="s">
        <v>9</v>
      </c>
      <c r="G90" s="3" t="s">
        <v>154</v>
      </c>
      <c r="H90" s="9" t="s">
        <v>428</v>
      </c>
      <c r="I90" s="3"/>
      <c r="K90" s="3" t="s">
        <v>112</v>
      </c>
      <c r="L90" s="3">
        <v>78.7</v>
      </c>
      <c r="M90" s="3">
        <v>1.02</v>
      </c>
      <c r="N90" s="3">
        <v>0.32</v>
      </c>
      <c r="O90" s="3">
        <v>3.22</v>
      </c>
      <c r="P90" s="3">
        <v>1E-3</v>
      </c>
      <c r="Q90" s="3" t="s">
        <v>179</v>
      </c>
      <c r="R90" s="3"/>
      <c r="S90" s="3"/>
    </row>
    <row r="91" spans="1:19" x14ac:dyDescent="0.3">
      <c r="A91" s="13" t="s">
        <v>157</v>
      </c>
      <c r="B91" s="3">
        <v>282</v>
      </c>
      <c r="C91" s="3">
        <v>0.76500000000000001</v>
      </c>
      <c r="D91" s="3">
        <v>0.17</v>
      </c>
      <c r="E91" s="3">
        <v>4.5599999999999996</v>
      </c>
      <c r="F91" s="3" t="s">
        <v>9</v>
      </c>
      <c r="G91" s="3" t="s">
        <v>154</v>
      </c>
      <c r="H91" s="3"/>
      <c r="I91" s="3"/>
      <c r="K91" s="3" t="s">
        <v>181</v>
      </c>
      <c r="L91" s="3">
        <v>40</v>
      </c>
      <c r="M91" s="3">
        <v>1.05</v>
      </c>
      <c r="N91" s="3">
        <v>0.33</v>
      </c>
      <c r="O91" s="3">
        <v>3.21</v>
      </c>
      <c r="P91" s="3">
        <v>1E-3</v>
      </c>
      <c r="Q91" s="3" t="s">
        <v>179</v>
      </c>
      <c r="R91" s="3"/>
      <c r="S91" s="3"/>
    </row>
    <row r="92" spans="1:19" x14ac:dyDescent="0.3">
      <c r="A92" s="3" t="s">
        <v>159</v>
      </c>
      <c r="B92" s="3">
        <v>143</v>
      </c>
      <c r="C92" s="3">
        <v>0.69899999999999995</v>
      </c>
      <c r="D92" s="3">
        <v>0.15</v>
      </c>
      <c r="E92" s="3">
        <v>4.55</v>
      </c>
      <c r="F92" s="3" t="s">
        <v>9</v>
      </c>
      <c r="G92" s="3" t="s">
        <v>154</v>
      </c>
      <c r="H92" s="9" t="s">
        <v>397</v>
      </c>
      <c r="I92" s="3"/>
      <c r="K92" s="13" t="s">
        <v>183</v>
      </c>
      <c r="L92" s="3">
        <v>30.2</v>
      </c>
      <c r="M92" s="3">
        <v>1</v>
      </c>
      <c r="N92" s="3">
        <v>0.31</v>
      </c>
      <c r="O92" s="3">
        <v>3.21</v>
      </c>
      <c r="P92" s="3">
        <v>1E-3</v>
      </c>
      <c r="Q92" s="3" t="s">
        <v>184</v>
      </c>
      <c r="R92" s="10" t="s">
        <v>420</v>
      </c>
      <c r="S92" s="3"/>
    </row>
    <row r="93" spans="1:19" x14ac:dyDescent="0.3">
      <c r="A93" s="13" t="s">
        <v>161</v>
      </c>
      <c r="B93" s="3">
        <v>154</v>
      </c>
      <c r="C93" s="3">
        <v>0.69799999999999995</v>
      </c>
      <c r="D93" s="3">
        <v>0.15</v>
      </c>
      <c r="E93" s="3">
        <v>4.53</v>
      </c>
      <c r="F93" s="3" t="s">
        <v>9</v>
      </c>
      <c r="G93" s="3" t="s">
        <v>154</v>
      </c>
      <c r="H93" s="3"/>
      <c r="I93" s="3"/>
      <c r="K93" s="3" t="s">
        <v>186</v>
      </c>
      <c r="L93" s="3">
        <v>55</v>
      </c>
      <c r="M93" s="3">
        <v>0.71</v>
      </c>
      <c r="N93" s="3">
        <v>0.22</v>
      </c>
      <c r="O93" s="3">
        <v>3.2</v>
      </c>
      <c r="P93" s="3">
        <v>1E-3</v>
      </c>
      <c r="Q93" s="3" t="s">
        <v>184</v>
      </c>
      <c r="R93" s="3"/>
      <c r="S93" s="3"/>
    </row>
    <row r="94" spans="1:19" x14ac:dyDescent="0.3">
      <c r="A94" s="13" t="s">
        <v>163</v>
      </c>
      <c r="B94" s="3">
        <v>97.5</v>
      </c>
      <c r="C94" s="3">
        <v>0.79900000000000004</v>
      </c>
      <c r="D94" s="3">
        <v>0.18</v>
      </c>
      <c r="E94" s="3">
        <v>4.5199999999999996</v>
      </c>
      <c r="F94" s="3" t="s">
        <v>9</v>
      </c>
      <c r="G94" s="3" t="s">
        <v>154</v>
      </c>
      <c r="H94" s="9" t="s">
        <v>397</v>
      </c>
      <c r="I94" s="3"/>
      <c r="K94" s="13" t="s">
        <v>187</v>
      </c>
      <c r="L94" s="3">
        <v>27.8</v>
      </c>
      <c r="M94" s="3">
        <v>1.1200000000000001</v>
      </c>
      <c r="N94" s="3">
        <v>0.35</v>
      </c>
      <c r="O94" s="3">
        <v>3.19</v>
      </c>
      <c r="P94" s="3">
        <v>1E-3</v>
      </c>
      <c r="Q94" s="3" t="s">
        <v>184</v>
      </c>
      <c r="R94" s="10" t="s">
        <v>421</v>
      </c>
      <c r="S94" s="3"/>
    </row>
    <row r="95" spans="1:19" x14ac:dyDescent="0.3">
      <c r="A95" s="3" t="s">
        <v>77</v>
      </c>
      <c r="B95" s="3">
        <v>110</v>
      </c>
      <c r="C95" s="3">
        <v>0.83099999999999996</v>
      </c>
      <c r="D95" s="3">
        <v>0.18</v>
      </c>
      <c r="E95" s="3">
        <v>4.5199999999999996</v>
      </c>
      <c r="F95" s="3" t="s">
        <v>9</v>
      </c>
      <c r="G95" s="3" t="s">
        <v>154</v>
      </c>
      <c r="H95" s="9" t="s">
        <v>397</v>
      </c>
      <c r="I95" s="3"/>
      <c r="K95" s="14" t="s">
        <v>189</v>
      </c>
      <c r="L95" s="6">
        <v>24.1</v>
      </c>
      <c r="M95" s="6">
        <v>-0.93300000000000005</v>
      </c>
      <c r="N95" s="6">
        <v>0.28999999999999998</v>
      </c>
      <c r="O95" s="6">
        <v>-3.2</v>
      </c>
      <c r="P95" s="6">
        <v>1E-3</v>
      </c>
      <c r="Q95" s="6" t="s">
        <v>184</v>
      </c>
      <c r="R95" s="6" t="s">
        <v>422</v>
      </c>
      <c r="S95" s="6"/>
    </row>
    <row r="96" spans="1:19" x14ac:dyDescent="0.3">
      <c r="A96" s="6" t="s">
        <v>166</v>
      </c>
      <c r="B96" s="6">
        <v>51.1</v>
      </c>
      <c r="C96" s="6">
        <v>-1.08</v>
      </c>
      <c r="D96" s="6">
        <v>0.24</v>
      </c>
      <c r="E96" s="6">
        <v>-4.51</v>
      </c>
      <c r="F96" s="6" t="s">
        <v>9</v>
      </c>
      <c r="G96" s="6" t="s">
        <v>154</v>
      </c>
      <c r="H96" s="6" t="s">
        <v>405</v>
      </c>
      <c r="I96" s="6"/>
      <c r="K96" s="3" t="s">
        <v>192</v>
      </c>
      <c r="L96" s="3">
        <v>261</v>
      </c>
      <c r="M96" s="3">
        <v>0.72199999999999998</v>
      </c>
      <c r="N96" s="3">
        <v>0.23</v>
      </c>
      <c r="O96" s="3">
        <v>3.18</v>
      </c>
      <c r="P96" s="3">
        <v>1E-3</v>
      </c>
      <c r="Q96" s="3" t="s">
        <v>190</v>
      </c>
      <c r="R96" s="3"/>
      <c r="S96" s="3"/>
    </row>
    <row r="97" spans="1:19" x14ac:dyDescent="0.3">
      <c r="A97" s="13" t="s">
        <v>168</v>
      </c>
      <c r="B97" s="3">
        <v>129</v>
      </c>
      <c r="C97" s="3">
        <v>0.78500000000000003</v>
      </c>
      <c r="D97" s="3">
        <v>0.17</v>
      </c>
      <c r="E97" s="3">
        <v>4.51</v>
      </c>
      <c r="F97" s="3" t="s">
        <v>9</v>
      </c>
      <c r="G97" s="3" t="s">
        <v>154</v>
      </c>
      <c r="H97" s="9" t="s">
        <v>397</v>
      </c>
      <c r="I97" s="3"/>
      <c r="K97" s="3" t="s">
        <v>194</v>
      </c>
      <c r="L97" s="3">
        <v>28</v>
      </c>
      <c r="M97" s="3">
        <v>0.86499999999999999</v>
      </c>
      <c r="N97" s="3">
        <v>0.27</v>
      </c>
      <c r="O97" s="3">
        <v>3.17</v>
      </c>
      <c r="P97" s="3">
        <v>2E-3</v>
      </c>
      <c r="Q97" s="3" t="s">
        <v>195</v>
      </c>
      <c r="R97" s="3"/>
      <c r="S97" s="3"/>
    </row>
    <row r="98" spans="1:19" x14ac:dyDescent="0.3">
      <c r="A98" s="13" t="s">
        <v>170</v>
      </c>
      <c r="B98" s="3">
        <v>239</v>
      </c>
      <c r="C98" s="3">
        <v>0.59499999999999997</v>
      </c>
      <c r="D98" s="3">
        <v>0.13</v>
      </c>
      <c r="E98" s="3">
        <v>4.51</v>
      </c>
      <c r="F98" s="3" t="s">
        <v>9</v>
      </c>
      <c r="G98" s="3" t="s">
        <v>154</v>
      </c>
      <c r="H98" s="3"/>
      <c r="I98" s="3"/>
      <c r="K98" s="3" t="s">
        <v>199</v>
      </c>
      <c r="L98" s="3">
        <v>302</v>
      </c>
      <c r="M98" s="3">
        <v>0.70599999999999996</v>
      </c>
      <c r="N98" s="3">
        <v>0.22</v>
      </c>
      <c r="O98" s="3">
        <v>3.15</v>
      </c>
      <c r="P98" s="3">
        <v>2E-3</v>
      </c>
      <c r="Q98" s="3" t="s">
        <v>197</v>
      </c>
      <c r="R98" s="3"/>
      <c r="S98" s="3"/>
    </row>
    <row r="99" spans="1:19" x14ac:dyDescent="0.3">
      <c r="A99" s="3" t="s">
        <v>167</v>
      </c>
      <c r="B99" s="3">
        <v>96.3</v>
      </c>
      <c r="C99" s="3">
        <v>0.874</v>
      </c>
      <c r="D99" s="3">
        <v>0.19</v>
      </c>
      <c r="E99" s="3">
        <v>4.5</v>
      </c>
      <c r="F99" s="3" t="s">
        <v>9</v>
      </c>
      <c r="G99" s="3" t="s">
        <v>154</v>
      </c>
      <c r="H99" s="3"/>
      <c r="I99" s="3"/>
      <c r="K99" s="3" t="s">
        <v>201</v>
      </c>
      <c r="L99" s="3">
        <v>24.8</v>
      </c>
      <c r="M99" s="3">
        <v>0.92400000000000004</v>
      </c>
      <c r="N99" s="3">
        <v>0.28999999999999998</v>
      </c>
      <c r="O99" s="3">
        <v>3.15</v>
      </c>
      <c r="P99" s="3">
        <v>2E-3</v>
      </c>
      <c r="Q99" s="3" t="s">
        <v>197</v>
      </c>
      <c r="R99" s="3"/>
      <c r="S99" s="3"/>
    </row>
    <row r="100" spans="1:19" x14ac:dyDescent="0.3">
      <c r="A100" s="3" t="s">
        <v>173</v>
      </c>
      <c r="B100" s="3">
        <v>1170</v>
      </c>
      <c r="C100" s="3">
        <v>1</v>
      </c>
      <c r="D100" s="3">
        <v>0.23</v>
      </c>
      <c r="E100" s="3">
        <v>4.46</v>
      </c>
      <c r="F100" s="3" t="s">
        <v>9</v>
      </c>
      <c r="G100" s="3" t="s">
        <v>154</v>
      </c>
      <c r="H100" s="3"/>
      <c r="I100" s="3"/>
      <c r="K100" s="3" t="s">
        <v>203</v>
      </c>
      <c r="L100" s="3">
        <v>292</v>
      </c>
      <c r="M100" s="3">
        <v>0.91500000000000004</v>
      </c>
      <c r="N100" s="3">
        <v>0.28999999999999998</v>
      </c>
      <c r="O100" s="3">
        <v>3.13</v>
      </c>
      <c r="P100" s="3">
        <v>2E-3</v>
      </c>
      <c r="Q100" s="3" t="s">
        <v>204</v>
      </c>
      <c r="R100" s="3"/>
      <c r="S100" s="3"/>
    </row>
    <row r="101" spans="1:19" x14ac:dyDescent="0.3">
      <c r="A101" s="6" t="s">
        <v>57</v>
      </c>
      <c r="B101" s="6">
        <v>238</v>
      </c>
      <c r="C101" s="6">
        <v>-0.89500000000000002</v>
      </c>
      <c r="D101" s="6">
        <v>0.2</v>
      </c>
      <c r="E101" s="6">
        <v>-4.46</v>
      </c>
      <c r="F101" s="6" t="s">
        <v>9</v>
      </c>
      <c r="G101" s="6" t="s">
        <v>154</v>
      </c>
      <c r="H101" s="12" t="s">
        <v>418</v>
      </c>
      <c r="I101" s="6"/>
      <c r="K101" s="3" t="s">
        <v>163</v>
      </c>
      <c r="L101" s="3">
        <v>94.2</v>
      </c>
      <c r="M101" s="3">
        <v>0.68700000000000006</v>
      </c>
      <c r="N101" s="3">
        <v>0.22</v>
      </c>
      <c r="O101" s="3">
        <v>3.12</v>
      </c>
      <c r="P101" s="3">
        <v>2E-3</v>
      </c>
      <c r="Q101" s="3" t="s">
        <v>206</v>
      </c>
      <c r="R101" s="3"/>
      <c r="S101" s="3"/>
    </row>
    <row r="102" spans="1:19" x14ac:dyDescent="0.3">
      <c r="A102" s="3" t="s">
        <v>162</v>
      </c>
      <c r="B102" s="3">
        <v>77.5</v>
      </c>
      <c r="C102" s="3">
        <v>0.88400000000000001</v>
      </c>
      <c r="D102" s="3">
        <v>0.2</v>
      </c>
      <c r="E102" s="3">
        <v>4.45</v>
      </c>
      <c r="F102" s="3" t="s">
        <v>9</v>
      </c>
      <c r="G102" s="3" t="s">
        <v>154</v>
      </c>
      <c r="H102" s="3"/>
      <c r="I102" s="3"/>
      <c r="K102" s="3" t="s">
        <v>210</v>
      </c>
      <c r="L102" s="3">
        <v>116</v>
      </c>
      <c r="M102" s="3">
        <v>0.72099999999999997</v>
      </c>
      <c r="N102" s="3">
        <v>0.23</v>
      </c>
      <c r="O102" s="3">
        <v>3.11</v>
      </c>
      <c r="P102" s="3">
        <v>2E-3</v>
      </c>
      <c r="Q102" s="3" t="s">
        <v>211</v>
      </c>
      <c r="R102" s="3"/>
      <c r="S102" s="3"/>
    </row>
    <row r="103" spans="1:19" x14ac:dyDescent="0.3">
      <c r="A103" s="13" t="s">
        <v>175</v>
      </c>
      <c r="B103" s="3">
        <v>169</v>
      </c>
      <c r="C103" s="3">
        <v>0.82699999999999996</v>
      </c>
      <c r="D103" s="3">
        <v>0.19</v>
      </c>
      <c r="E103" s="3">
        <v>4.42</v>
      </c>
      <c r="F103" s="3" t="s">
        <v>9</v>
      </c>
      <c r="G103" s="3" t="s">
        <v>176</v>
      </c>
      <c r="H103" s="3"/>
      <c r="I103" s="3"/>
      <c r="K103" s="6" t="s">
        <v>166</v>
      </c>
      <c r="L103" s="6">
        <v>55.2</v>
      </c>
      <c r="M103" s="6">
        <v>-0.92700000000000005</v>
      </c>
      <c r="N103" s="6">
        <v>0.3</v>
      </c>
      <c r="O103" s="6">
        <v>-3.11</v>
      </c>
      <c r="P103" s="6">
        <v>2E-3</v>
      </c>
      <c r="Q103" s="6" t="s">
        <v>211</v>
      </c>
      <c r="R103" s="6" t="s">
        <v>405</v>
      </c>
      <c r="S103" s="6"/>
    </row>
    <row r="104" spans="1:19" x14ac:dyDescent="0.3">
      <c r="A104" s="3" t="s">
        <v>88</v>
      </c>
      <c r="B104" s="3">
        <v>191</v>
      </c>
      <c r="C104" s="3">
        <v>0.81</v>
      </c>
      <c r="D104" s="3">
        <v>0.18</v>
      </c>
      <c r="E104" s="3">
        <v>4.41</v>
      </c>
      <c r="F104" s="3" t="s">
        <v>9</v>
      </c>
      <c r="G104" s="3" t="s">
        <v>176</v>
      </c>
      <c r="H104" s="3"/>
      <c r="I104" s="3"/>
      <c r="K104" s="3" t="s">
        <v>173</v>
      </c>
      <c r="L104" s="3">
        <v>1080</v>
      </c>
      <c r="M104" s="3">
        <v>0.77900000000000003</v>
      </c>
      <c r="N104" s="3">
        <v>0.25</v>
      </c>
      <c r="O104" s="3">
        <v>3.08</v>
      </c>
      <c r="P104" s="3">
        <v>2E-3</v>
      </c>
      <c r="Q104" s="3" t="s">
        <v>13</v>
      </c>
      <c r="R104" s="3"/>
      <c r="S104" s="3"/>
    </row>
    <row r="105" spans="1:19" x14ac:dyDescent="0.3">
      <c r="A105" s="14" t="s">
        <v>178</v>
      </c>
      <c r="B105" s="6">
        <v>272</v>
      </c>
      <c r="C105" s="6">
        <v>-0.63</v>
      </c>
      <c r="D105" s="6">
        <v>0.14000000000000001</v>
      </c>
      <c r="E105" s="6">
        <v>-4.41</v>
      </c>
      <c r="F105" s="6" t="s">
        <v>9</v>
      </c>
      <c r="G105" s="6" t="s">
        <v>176</v>
      </c>
      <c r="H105" s="6" t="s">
        <v>406</v>
      </c>
      <c r="I105" s="6"/>
      <c r="K105" s="3" t="s">
        <v>209</v>
      </c>
      <c r="L105" s="3">
        <v>82.3</v>
      </c>
      <c r="M105" s="3">
        <v>0.63700000000000001</v>
      </c>
      <c r="N105" s="3">
        <v>0.21</v>
      </c>
      <c r="O105" s="3">
        <v>3.08</v>
      </c>
      <c r="P105" s="3">
        <v>2E-3</v>
      </c>
      <c r="Q105" s="3" t="s">
        <v>13</v>
      </c>
      <c r="R105" s="3"/>
      <c r="S105" s="3"/>
    </row>
    <row r="106" spans="1:19" x14ac:dyDescent="0.3">
      <c r="A106" s="13" t="s">
        <v>180</v>
      </c>
      <c r="B106" s="3">
        <v>182</v>
      </c>
      <c r="C106" s="3">
        <v>0.76700000000000002</v>
      </c>
      <c r="D106" s="3">
        <v>0.17</v>
      </c>
      <c r="E106" s="3">
        <v>4.4000000000000004</v>
      </c>
      <c r="F106" s="3" t="s">
        <v>9</v>
      </c>
      <c r="G106" s="3" t="s">
        <v>176</v>
      </c>
      <c r="H106" s="3"/>
      <c r="I106" s="3"/>
      <c r="K106" s="3" t="s">
        <v>64</v>
      </c>
      <c r="L106" s="3">
        <v>45.5</v>
      </c>
      <c r="M106" s="3">
        <v>0.85499999999999998</v>
      </c>
      <c r="N106" s="3">
        <v>0.28000000000000003</v>
      </c>
      <c r="O106" s="3">
        <v>3.07</v>
      </c>
      <c r="P106" s="3">
        <v>2E-3</v>
      </c>
      <c r="Q106" s="3" t="s">
        <v>13</v>
      </c>
      <c r="R106" s="3"/>
      <c r="S106" s="3"/>
    </row>
    <row r="107" spans="1:19" x14ac:dyDescent="0.3">
      <c r="A107" s="13" t="s">
        <v>182</v>
      </c>
      <c r="B107" s="3">
        <v>118</v>
      </c>
      <c r="C107" s="3">
        <v>0.92700000000000005</v>
      </c>
      <c r="D107" s="3">
        <v>0.21</v>
      </c>
      <c r="E107" s="3">
        <v>4.3899999999999997</v>
      </c>
      <c r="F107" s="3" t="s">
        <v>9</v>
      </c>
      <c r="G107" s="3" t="s">
        <v>176</v>
      </c>
      <c r="H107" s="3"/>
      <c r="I107" s="3"/>
      <c r="K107" s="6" t="s">
        <v>216</v>
      </c>
      <c r="L107" s="6">
        <v>98</v>
      </c>
      <c r="M107" s="6">
        <v>-0.66100000000000003</v>
      </c>
      <c r="N107" s="6">
        <v>0.21</v>
      </c>
      <c r="O107" s="6">
        <v>-3.07</v>
      </c>
      <c r="P107" s="6">
        <v>2E-3</v>
      </c>
      <c r="Q107" s="6" t="s">
        <v>13</v>
      </c>
      <c r="R107" s="6" t="s">
        <v>445</v>
      </c>
      <c r="S107" s="6"/>
    </row>
    <row r="108" spans="1:19" x14ac:dyDescent="0.3">
      <c r="A108" s="3" t="s">
        <v>71</v>
      </c>
      <c r="B108" s="3">
        <v>80.7</v>
      </c>
      <c r="C108" s="3">
        <v>0.96199999999999997</v>
      </c>
      <c r="D108" s="3">
        <v>0.22</v>
      </c>
      <c r="E108" s="3">
        <v>4.38</v>
      </c>
      <c r="F108" s="3" t="s">
        <v>9</v>
      </c>
      <c r="G108" s="3" t="s">
        <v>176</v>
      </c>
      <c r="H108" s="3"/>
      <c r="I108" s="3"/>
      <c r="K108" s="3" t="s">
        <v>95</v>
      </c>
      <c r="L108" s="3">
        <v>283</v>
      </c>
      <c r="M108" s="3">
        <v>0.61199999999999999</v>
      </c>
      <c r="N108" s="3">
        <v>0.2</v>
      </c>
      <c r="O108" s="3">
        <v>3.07</v>
      </c>
      <c r="P108" s="3">
        <v>2E-3</v>
      </c>
      <c r="Q108" s="3" t="s">
        <v>17</v>
      </c>
      <c r="R108" s="3"/>
      <c r="S108" s="3"/>
    </row>
    <row r="109" spans="1:19" x14ac:dyDescent="0.3">
      <c r="A109" s="13" t="s">
        <v>185</v>
      </c>
      <c r="B109" s="3">
        <v>405</v>
      </c>
      <c r="C109" s="3">
        <v>0.79100000000000004</v>
      </c>
      <c r="D109" s="3">
        <v>0.18</v>
      </c>
      <c r="E109" s="3">
        <v>4.37</v>
      </c>
      <c r="F109" s="3" t="s">
        <v>9</v>
      </c>
      <c r="G109" s="3" t="s">
        <v>176</v>
      </c>
      <c r="H109" s="3"/>
      <c r="I109" s="3"/>
      <c r="K109" s="3" t="s">
        <v>217</v>
      </c>
      <c r="L109" s="3">
        <v>69.099999999999994</v>
      </c>
      <c r="M109" s="3">
        <v>0.69199999999999995</v>
      </c>
      <c r="N109" s="3">
        <v>0.23</v>
      </c>
      <c r="O109" s="3">
        <v>3.06</v>
      </c>
      <c r="P109" s="3">
        <v>2E-3</v>
      </c>
      <c r="Q109" s="3" t="s">
        <v>17</v>
      </c>
      <c r="R109" s="3"/>
      <c r="S109" s="3"/>
    </row>
    <row r="110" spans="1:19" x14ac:dyDescent="0.3">
      <c r="A110" s="3" t="s">
        <v>96</v>
      </c>
      <c r="B110" s="3">
        <v>157</v>
      </c>
      <c r="C110" s="3">
        <v>0.94099999999999995</v>
      </c>
      <c r="D110" s="3">
        <v>0.22</v>
      </c>
      <c r="E110" s="3">
        <v>4.3499999999999996</v>
      </c>
      <c r="F110" s="3" t="s">
        <v>9</v>
      </c>
      <c r="G110" s="3" t="s">
        <v>176</v>
      </c>
      <c r="H110" s="10" t="s">
        <v>431</v>
      </c>
      <c r="I110" s="3"/>
      <c r="K110" s="3" t="s">
        <v>219</v>
      </c>
      <c r="L110" s="3">
        <v>335</v>
      </c>
      <c r="M110" s="3">
        <v>0.69299999999999995</v>
      </c>
      <c r="N110" s="3">
        <v>0.23</v>
      </c>
      <c r="O110" s="3">
        <v>3.06</v>
      </c>
      <c r="P110" s="3">
        <v>2E-3</v>
      </c>
      <c r="Q110" s="3" t="s">
        <v>17</v>
      </c>
      <c r="R110" s="3"/>
      <c r="S110" s="3"/>
    </row>
    <row r="111" spans="1:19" x14ac:dyDescent="0.3">
      <c r="A111" s="13" t="s">
        <v>188</v>
      </c>
      <c r="B111" s="3">
        <v>174</v>
      </c>
      <c r="C111" s="3">
        <v>0.75</v>
      </c>
      <c r="D111" s="3">
        <v>0.17</v>
      </c>
      <c r="E111" s="3">
        <v>4.3499999999999996</v>
      </c>
      <c r="F111" s="3" t="s">
        <v>9</v>
      </c>
      <c r="G111" s="3" t="s">
        <v>176</v>
      </c>
      <c r="H111" s="3"/>
      <c r="I111" s="3"/>
      <c r="K111" s="3" t="s">
        <v>221</v>
      </c>
      <c r="L111" s="3">
        <v>75.7</v>
      </c>
      <c r="M111" s="3">
        <v>0.59699999999999998</v>
      </c>
      <c r="N111" s="3">
        <v>0.2</v>
      </c>
      <c r="O111" s="3">
        <v>3.05</v>
      </c>
      <c r="P111" s="3">
        <v>2E-3</v>
      </c>
      <c r="Q111" s="3" t="s">
        <v>17</v>
      </c>
      <c r="R111" s="3"/>
      <c r="S111" s="3"/>
    </row>
    <row r="112" spans="1:19" x14ac:dyDescent="0.3">
      <c r="A112" s="3" t="s">
        <v>111</v>
      </c>
      <c r="B112" s="3">
        <v>131</v>
      </c>
      <c r="C112" s="3">
        <v>0.91400000000000003</v>
      </c>
      <c r="D112" s="3">
        <v>0.21</v>
      </c>
      <c r="E112" s="3">
        <v>4.34</v>
      </c>
      <c r="F112" s="3" t="s">
        <v>9</v>
      </c>
      <c r="G112" s="3" t="s">
        <v>28</v>
      </c>
      <c r="H112" s="10" t="s">
        <v>402</v>
      </c>
      <c r="I112" s="3"/>
      <c r="K112" s="6" t="s">
        <v>55</v>
      </c>
      <c r="L112" s="6">
        <v>104</v>
      </c>
      <c r="M112" s="6">
        <v>-1.02</v>
      </c>
      <c r="N112" s="6">
        <v>0.33</v>
      </c>
      <c r="O112" s="6">
        <v>-3.05</v>
      </c>
      <c r="P112" s="6">
        <v>2E-3</v>
      </c>
      <c r="Q112" s="6" t="s">
        <v>17</v>
      </c>
      <c r="R112" s="12" t="s">
        <v>417</v>
      </c>
      <c r="S112" s="6"/>
    </row>
    <row r="113" spans="1:19" x14ac:dyDescent="0.3">
      <c r="A113" s="13" t="s">
        <v>191</v>
      </c>
      <c r="B113" s="3">
        <v>363</v>
      </c>
      <c r="C113" s="3">
        <v>0.80400000000000005</v>
      </c>
      <c r="D113" s="3">
        <v>0.19</v>
      </c>
      <c r="E113" s="3">
        <v>4.32</v>
      </c>
      <c r="F113" s="3" t="s">
        <v>9</v>
      </c>
      <c r="G113" s="3" t="s">
        <v>28</v>
      </c>
      <c r="H113" s="11" t="s">
        <v>435</v>
      </c>
      <c r="I113" s="3"/>
      <c r="K113" s="3" t="s">
        <v>137</v>
      </c>
      <c r="L113" s="3">
        <v>79.400000000000006</v>
      </c>
      <c r="M113" s="3">
        <v>0.77300000000000002</v>
      </c>
      <c r="N113" s="3">
        <v>0.25</v>
      </c>
      <c r="O113" s="3">
        <v>3.04</v>
      </c>
      <c r="P113" s="3">
        <v>2E-3</v>
      </c>
      <c r="Q113" s="3" t="s">
        <v>224</v>
      </c>
      <c r="R113" s="3"/>
      <c r="S113" s="3"/>
    </row>
    <row r="114" spans="1:19" x14ac:dyDescent="0.3">
      <c r="A114" s="13" t="s">
        <v>193</v>
      </c>
      <c r="B114" s="3">
        <v>165</v>
      </c>
      <c r="C114" s="3">
        <v>0.74199999999999999</v>
      </c>
      <c r="D114" s="3">
        <v>0.17</v>
      </c>
      <c r="E114" s="3">
        <v>4.32</v>
      </c>
      <c r="F114" s="3" t="s">
        <v>9</v>
      </c>
      <c r="G114" s="3" t="s">
        <v>28</v>
      </c>
      <c r="H114" s="9" t="s">
        <v>397</v>
      </c>
      <c r="I114" s="3"/>
    </row>
    <row r="115" spans="1:19" x14ac:dyDescent="0.3">
      <c r="A115" s="3" t="s">
        <v>109</v>
      </c>
      <c r="B115" s="3">
        <v>180</v>
      </c>
      <c r="C115" s="3">
        <v>0.69599999999999995</v>
      </c>
      <c r="D115" s="3">
        <v>0.16</v>
      </c>
      <c r="E115" s="3">
        <v>4.3099999999999996</v>
      </c>
      <c r="F115" s="3" t="s">
        <v>9</v>
      </c>
      <c r="G115" s="3" t="s">
        <v>28</v>
      </c>
      <c r="H115" s="3"/>
      <c r="I115" s="3"/>
    </row>
    <row r="116" spans="1:19" x14ac:dyDescent="0.3">
      <c r="A116" s="13" t="s">
        <v>98</v>
      </c>
      <c r="B116" s="3">
        <v>150</v>
      </c>
      <c r="C116" s="3">
        <v>0.65800000000000003</v>
      </c>
      <c r="D116" s="3">
        <v>0.15</v>
      </c>
      <c r="E116" s="3">
        <v>4.28</v>
      </c>
      <c r="F116" s="3" t="s">
        <v>9</v>
      </c>
      <c r="G116" s="3" t="s">
        <v>198</v>
      </c>
      <c r="H116" s="3"/>
      <c r="I116" s="3"/>
    </row>
    <row r="117" spans="1:19" x14ac:dyDescent="0.3">
      <c r="A117" s="3" t="s">
        <v>156</v>
      </c>
      <c r="B117" s="3">
        <v>170</v>
      </c>
      <c r="C117" s="3">
        <v>0.75800000000000001</v>
      </c>
      <c r="D117" s="3">
        <v>0.18</v>
      </c>
      <c r="E117" s="3">
        <v>4.26</v>
      </c>
      <c r="F117" s="3" t="s">
        <v>9</v>
      </c>
      <c r="G117" s="3" t="s">
        <v>198</v>
      </c>
      <c r="H117" s="3"/>
      <c r="I117" s="3"/>
    </row>
    <row r="118" spans="1:19" x14ac:dyDescent="0.3">
      <c r="A118" s="13" t="s">
        <v>200</v>
      </c>
      <c r="B118" s="3">
        <v>72.3</v>
      </c>
      <c r="C118" s="3">
        <v>1.05</v>
      </c>
      <c r="D118" s="3">
        <v>0.25</v>
      </c>
      <c r="E118" s="3">
        <v>4.26</v>
      </c>
      <c r="F118" s="3" t="s">
        <v>9</v>
      </c>
      <c r="G118" s="3" t="s">
        <v>198</v>
      </c>
      <c r="H118" s="3" t="s">
        <v>436</v>
      </c>
      <c r="I118" s="3"/>
    </row>
    <row r="119" spans="1:19" x14ac:dyDescent="0.3">
      <c r="A119" s="13" t="s">
        <v>202</v>
      </c>
      <c r="B119" s="3">
        <v>58.3</v>
      </c>
      <c r="C119" s="3">
        <v>0.92600000000000005</v>
      </c>
      <c r="D119" s="3">
        <v>0.22</v>
      </c>
      <c r="E119" s="3">
        <v>4.26</v>
      </c>
      <c r="F119" s="3" t="s">
        <v>9</v>
      </c>
      <c r="G119" s="3" t="s">
        <v>198</v>
      </c>
      <c r="H119" s="3"/>
      <c r="I119" s="3"/>
    </row>
    <row r="120" spans="1:19" x14ac:dyDescent="0.3">
      <c r="A120" s="3" t="s">
        <v>94</v>
      </c>
      <c r="B120" s="3">
        <v>41.9</v>
      </c>
      <c r="C120" s="3">
        <v>1.01</v>
      </c>
      <c r="D120" s="3">
        <v>0.24</v>
      </c>
      <c r="E120" s="3">
        <v>4.22</v>
      </c>
      <c r="F120" s="3" t="s">
        <v>9</v>
      </c>
      <c r="G120" s="3" t="s">
        <v>205</v>
      </c>
      <c r="H120" s="3"/>
      <c r="I120" s="3"/>
    </row>
    <row r="121" spans="1:19" x14ac:dyDescent="0.3">
      <c r="A121" s="13" t="s">
        <v>208</v>
      </c>
      <c r="B121" s="3">
        <v>177</v>
      </c>
      <c r="C121" s="3">
        <v>0.75600000000000001</v>
      </c>
      <c r="D121" s="3">
        <v>0.18</v>
      </c>
      <c r="E121" s="3">
        <v>4.18</v>
      </c>
      <c r="F121" s="3" t="s">
        <v>9</v>
      </c>
      <c r="G121" s="3" t="s">
        <v>207</v>
      </c>
      <c r="H121" s="9" t="s">
        <v>397</v>
      </c>
      <c r="I121" s="3"/>
    </row>
    <row r="122" spans="1:19" x14ac:dyDescent="0.3">
      <c r="A122" s="3" t="s">
        <v>209</v>
      </c>
      <c r="B122" s="3">
        <v>86.6</v>
      </c>
      <c r="C122" s="3">
        <v>0.81100000000000005</v>
      </c>
      <c r="D122" s="3">
        <v>0.19</v>
      </c>
      <c r="E122" s="3">
        <v>4.1900000000000004</v>
      </c>
      <c r="F122" s="3" t="s">
        <v>9</v>
      </c>
      <c r="G122" s="3" t="s">
        <v>207</v>
      </c>
      <c r="H122" s="3"/>
      <c r="I122" s="3"/>
    </row>
    <row r="123" spans="1:19" x14ac:dyDescent="0.3">
      <c r="A123" s="13" t="s">
        <v>196</v>
      </c>
      <c r="B123" s="3">
        <v>338</v>
      </c>
      <c r="C123" s="3">
        <v>0.629</v>
      </c>
      <c r="D123" s="3">
        <v>0.15</v>
      </c>
      <c r="E123" s="3">
        <v>4.18</v>
      </c>
      <c r="F123" s="3" t="s">
        <v>9</v>
      </c>
      <c r="G123" s="3" t="s">
        <v>207</v>
      </c>
      <c r="H123" s="9" t="s">
        <v>397</v>
      </c>
      <c r="I123" s="3"/>
    </row>
    <row r="124" spans="1:19" x14ac:dyDescent="0.3">
      <c r="A124" s="3" t="s">
        <v>192</v>
      </c>
      <c r="B124" s="3">
        <v>253</v>
      </c>
      <c r="C124" s="3">
        <v>0.72899999999999998</v>
      </c>
      <c r="D124" s="3">
        <v>0.17</v>
      </c>
      <c r="E124" s="3">
        <v>4.18</v>
      </c>
      <c r="F124" s="3" t="s">
        <v>9</v>
      </c>
      <c r="G124" s="3" t="s">
        <v>207</v>
      </c>
      <c r="H124" s="3"/>
      <c r="I124" s="3"/>
    </row>
    <row r="125" spans="1:19" x14ac:dyDescent="0.3">
      <c r="A125" s="14" t="s">
        <v>213</v>
      </c>
      <c r="B125" s="6">
        <v>2210</v>
      </c>
      <c r="C125" s="6">
        <v>-0.61</v>
      </c>
      <c r="D125" s="6">
        <v>0.15</v>
      </c>
      <c r="E125" s="6">
        <v>-4.1500000000000004</v>
      </c>
      <c r="F125" s="6" t="s">
        <v>9</v>
      </c>
      <c r="G125" s="6" t="s">
        <v>207</v>
      </c>
      <c r="H125" s="6" t="s">
        <v>407</v>
      </c>
      <c r="I125" s="6"/>
    </row>
    <row r="126" spans="1:19" x14ac:dyDescent="0.3">
      <c r="A126" s="13" t="s">
        <v>214</v>
      </c>
      <c r="B126" s="3">
        <v>237</v>
      </c>
      <c r="C126" s="3">
        <v>0.68</v>
      </c>
      <c r="D126" s="3">
        <v>0.16</v>
      </c>
      <c r="E126" s="3">
        <v>4.13</v>
      </c>
      <c r="F126" s="3" t="s">
        <v>9</v>
      </c>
      <c r="G126" s="3" t="s">
        <v>215</v>
      </c>
      <c r="H126" s="9" t="s">
        <v>397</v>
      </c>
      <c r="I126" s="3"/>
    </row>
    <row r="127" spans="1:19" x14ac:dyDescent="0.3">
      <c r="A127" s="3" t="s">
        <v>160</v>
      </c>
      <c r="B127" s="3">
        <v>104</v>
      </c>
      <c r="C127" s="3">
        <v>0.66900000000000004</v>
      </c>
      <c r="D127" s="3">
        <v>0.16</v>
      </c>
      <c r="E127" s="3">
        <v>4.13</v>
      </c>
      <c r="F127" s="3" t="s">
        <v>9</v>
      </c>
      <c r="G127" s="3" t="s">
        <v>215</v>
      </c>
      <c r="H127" s="9" t="s">
        <v>397</v>
      </c>
      <c r="I127" s="3"/>
    </row>
    <row r="128" spans="1:19" x14ac:dyDescent="0.3">
      <c r="A128" s="3" t="s">
        <v>100</v>
      </c>
      <c r="B128" s="3">
        <v>95.7</v>
      </c>
      <c r="C128" s="3">
        <v>0.80100000000000005</v>
      </c>
      <c r="D128" s="3">
        <v>0.19</v>
      </c>
      <c r="E128" s="3">
        <v>4.13</v>
      </c>
      <c r="F128" s="3" t="s">
        <v>9</v>
      </c>
      <c r="G128" s="3" t="s">
        <v>215</v>
      </c>
      <c r="H128" s="3"/>
      <c r="I128" s="3"/>
    </row>
    <row r="129" spans="1:9" x14ac:dyDescent="0.3">
      <c r="A129" s="3" t="s">
        <v>147</v>
      </c>
      <c r="B129" s="3">
        <v>64.400000000000006</v>
      </c>
      <c r="C129" s="3">
        <v>0.95699999999999996</v>
      </c>
      <c r="D129" s="3">
        <v>0.23</v>
      </c>
      <c r="E129" s="3">
        <v>4.1399999999999997</v>
      </c>
      <c r="F129" s="3" t="s">
        <v>9</v>
      </c>
      <c r="G129" s="3" t="s">
        <v>215</v>
      </c>
      <c r="H129" s="3"/>
      <c r="I129" s="3"/>
    </row>
    <row r="130" spans="1:9" x14ac:dyDescent="0.3">
      <c r="A130" s="13" t="s">
        <v>218</v>
      </c>
      <c r="B130" s="3">
        <v>50.4</v>
      </c>
      <c r="C130" s="3">
        <v>0.91400000000000003</v>
      </c>
      <c r="D130" s="3">
        <v>0.22</v>
      </c>
      <c r="E130" s="3">
        <v>4.1100000000000003</v>
      </c>
      <c r="F130" s="3" t="s">
        <v>9</v>
      </c>
      <c r="G130" s="3" t="s">
        <v>215</v>
      </c>
      <c r="H130" s="3"/>
      <c r="I130" s="3"/>
    </row>
    <row r="131" spans="1:9" x14ac:dyDescent="0.3">
      <c r="A131" s="3" t="s">
        <v>103</v>
      </c>
      <c r="B131" s="3">
        <v>26.1</v>
      </c>
      <c r="C131" s="3">
        <v>1.65</v>
      </c>
      <c r="D131" s="3">
        <v>0.4</v>
      </c>
      <c r="E131" s="3">
        <v>4.0999999999999996</v>
      </c>
      <c r="F131" s="3" t="s">
        <v>9</v>
      </c>
      <c r="G131" s="3" t="s">
        <v>220</v>
      </c>
      <c r="H131" s="10" t="s">
        <v>402</v>
      </c>
      <c r="I131" s="3"/>
    </row>
    <row r="132" spans="1:9" x14ac:dyDescent="0.3">
      <c r="A132" s="13" t="s">
        <v>222</v>
      </c>
      <c r="B132" s="3">
        <v>196</v>
      </c>
      <c r="C132" s="3">
        <v>0.65</v>
      </c>
      <c r="D132" s="3">
        <v>0.16</v>
      </c>
      <c r="E132" s="3">
        <v>4.08</v>
      </c>
      <c r="F132" s="3" t="s">
        <v>9</v>
      </c>
      <c r="G132" s="3" t="s">
        <v>220</v>
      </c>
      <c r="H132" s="3"/>
      <c r="I132" s="3"/>
    </row>
    <row r="133" spans="1:9" x14ac:dyDescent="0.3">
      <c r="A133" s="13" t="s">
        <v>223</v>
      </c>
      <c r="B133" s="3">
        <v>64.2</v>
      </c>
      <c r="C133" s="3">
        <v>0.98099999999999998</v>
      </c>
      <c r="D133" s="3">
        <v>0.24</v>
      </c>
      <c r="E133" s="3">
        <v>4.08</v>
      </c>
      <c r="F133" s="3" t="s">
        <v>9</v>
      </c>
      <c r="G133" s="3" t="s">
        <v>220</v>
      </c>
      <c r="H133" s="3"/>
      <c r="I133" s="3"/>
    </row>
    <row r="134" spans="1:9" x14ac:dyDescent="0.3">
      <c r="A134" s="13" t="s">
        <v>225</v>
      </c>
      <c r="B134" s="3">
        <v>37.9</v>
      </c>
      <c r="C134" s="3">
        <v>0.95699999999999996</v>
      </c>
      <c r="D134" s="3">
        <v>0.24</v>
      </c>
      <c r="E134" s="3">
        <v>4.07</v>
      </c>
      <c r="F134" s="3" t="s">
        <v>9</v>
      </c>
      <c r="G134" s="3" t="s">
        <v>226</v>
      </c>
      <c r="H134" s="3"/>
      <c r="I134" s="3"/>
    </row>
    <row r="135" spans="1:9" x14ac:dyDescent="0.3">
      <c r="A135" s="3" t="s">
        <v>221</v>
      </c>
      <c r="B135" s="3">
        <v>77.900000000000006</v>
      </c>
      <c r="C135" s="3">
        <v>0.70799999999999996</v>
      </c>
      <c r="D135" s="3">
        <v>0.17</v>
      </c>
      <c r="E135" s="3">
        <v>4.0599999999999996</v>
      </c>
      <c r="F135" s="3" t="s">
        <v>9</v>
      </c>
      <c r="G135" s="3" t="s">
        <v>226</v>
      </c>
      <c r="H135" s="3"/>
      <c r="I135" s="3"/>
    </row>
    <row r="136" spans="1:9" x14ac:dyDescent="0.3">
      <c r="A136" s="13" t="s">
        <v>227</v>
      </c>
      <c r="B136" s="3">
        <v>148</v>
      </c>
      <c r="C136" s="3">
        <v>0.59399999999999997</v>
      </c>
      <c r="D136" s="3">
        <v>0.15</v>
      </c>
      <c r="E136" s="3">
        <v>4.05</v>
      </c>
      <c r="F136" s="3" t="s">
        <v>9</v>
      </c>
      <c r="G136" s="3" t="s">
        <v>228</v>
      </c>
      <c r="H136" s="3"/>
      <c r="I136" s="3"/>
    </row>
    <row r="137" spans="1:9" x14ac:dyDescent="0.3">
      <c r="A137" s="3" t="s">
        <v>114</v>
      </c>
      <c r="B137" s="3">
        <v>90</v>
      </c>
      <c r="C137" s="3">
        <v>0.76600000000000001</v>
      </c>
      <c r="D137" s="3">
        <v>0.19</v>
      </c>
      <c r="E137" s="3">
        <v>4.04</v>
      </c>
      <c r="F137" s="3" t="s">
        <v>9</v>
      </c>
      <c r="G137" s="3" t="s">
        <v>228</v>
      </c>
      <c r="H137" s="3"/>
      <c r="I137" s="3"/>
    </row>
    <row r="138" spans="1:9" x14ac:dyDescent="0.3">
      <c r="A138" s="13" t="s">
        <v>229</v>
      </c>
      <c r="B138" s="3">
        <v>61.2</v>
      </c>
      <c r="C138" s="3">
        <v>0.998</v>
      </c>
      <c r="D138" s="3">
        <v>0.25</v>
      </c>
      <c r="E138" s="3">
        <v>4.0199999999999996</v>
      </c>
      <c r="F138" s="3" t="s">
        <v>9</v>
      </c>
      <c r="G138" s="3" t="s">
        <v>228</v>
      </c>
      <c r="H138" s="3"/>
      <c r="I138" s="3"/>
    </row>
    <row r="139" spans="1:9" x14ac:dyDescent="0.3">
      <c r="A139" s="13" t="s">
        <v>230</v>
      </c>
      <c r="B139" s="3">
        <v>41.6</v>
      </c>
      <c r="C139" s="3">
        <v>1.18</v>
      </c>
      <c r="D139" s="3">
        <v>0.28999999999999998</v>
      </c>
      <c r="E139" s="3">
        <v>4.0199999999999996</v>
      </c>
      <c r="F139" s="3" t="s">
        <v>9</v>
      </c>
      <c r="G139" s="3" t="s">
        <v>228</v>
      </c>
      <c r="H139" s="3"/>
      <c r="I139" s="3"/>
    </row>
    <row r="140" spans="1:9" x14ac:dyDescent="0.3">
      <c r="A140" s="13" t="s">
        <v>231</v>
      </c>
      <c r="B140" s="3">
        <v>146</v>
      </c>
      <c r="C140" s="3">
        <v>0.79600000000000004</v>
      </c>
      <c r="D140" s="3">
        <v>0.2</v>
      </c>
      <c r="E140" s="3">
        <v>4.01</v>
      </c>
      <c r="F140" s="3" t="s">
        <v>9</v>
      </c>
      <c r="G140" s="3" t="s">
        <v>228</v>
      </c>
      <c r="H140" s="3"/>
      <c r="I140" s="3"/>
    </row>
    <row r="141" spans="1:9" x14ac:dyDescent="0.3">
      <c r="A141" s="13" t="s">
        <v>232</v>
      </c>
      <c r="B141" s="3">
        <v>218</v>
      </c>
      <c r="C141" s="3">
        <v>0.59399999999999997</v>
      </c>
      <c r="D141" s="3">
        <v>0.15</v>
      </c>
      <c r="E141" s="3">
        <v>3.99</v>
      </c>
      <c r="F141" s="3" t="s">
        <v>9</v>
      </c>
      <c r="G141" s="3" t="s">
        <v>228</v>
      </c>
      <c r="H141" s="9" t="s">
        <v>397</v>
      </c>
      <c r="I141" s="3"/>
    </row>
    <row r="142" spans="1:9" x14ac:dyDescent="0.3">
      <c r="A142" s="3" t="s">
        <v>177</v>
      </c>
      <c r="B142" s="3">
        <v>97.3</v>
      </c>
      <c r="C142" s="3">
        <v>0.68600000000000005</v>
      </c>
      <c r="D142" s="3">
        <v>0.17</v>
      </c>
      <c r="E142" s="3">
        <v>3.98</v>
      </c>
      <c r="F142" s="3" t="s">
        <v>9</v>
      </c>
      <c r="G142" s="3" t="s">
        <v>228</v>
      </c>
      <c r="H142" s="3"/>
      <c r="I142" s="3"/>
    </row>
    <row r="143" spans="1:9" x14ac:dyDescent="0.3">
      <c r="A143" s="3" t="s">
        <v>148</v>
      </c>
      <c r="B143" s="3">
        <v>95.2</v>
      </c>
      <c r="C143" s="3">
        <v>0.70899999999999996</v>
      </c>
      <c r="D143" s="3">
        <v>0.18</v>
      </c>
      <c r="E143" s="3">
        <v>3.98</v>
      </c>
      <c r="F143" s="3" t="s">
        <v>9</v>
      </c>
      <c r="G143" s="3" t="s">
        <v>228</v>
      </c>
      <c r="H143" s="3"/>
      <c r="I143" s="3"/>
    </row>
    <row r="144" spans="1:9" x14ac:dyDescent="0.3">
      <c r="A144" s="13" t="s">
        <v>233</v>
      </c>
      <c r="B144" s="3">
        <v>89.6</v>
      </c>
      <c r="C144" s="3">
        <v>0.84499999999999997</v>
      </c>
      <c r="D144" s="3">
        <v>0.21</v>
      </c>
      <c r="E144" s="3">
        <v>3.97</v>
      </c>
      <c r="F144" s="3" t="s">
        <v>9</v>
      </c>
      <c r="G144" s="3" t="s">
        <v>228</v>
      </c>
      <c r="H144" s="3"/>
      <c r="I144" s="3"/>
    </row>
    <row r="145" spans="1:9" x14ac:dyDescent="0.3">
      <c r="A145" s="3" t="s">
        <v>181</v>
      </c>
      <c r="B145" s="3">
        <v>44</v>
      </c>
      <c r="C145" s="3">
        <v>1.27</v>
      </c>
      <c r="D145" s="3">
        <v>0.32</v>
      </c>
      <c r="E145" s="3">
        <v>3.96</v>
      </c>
      <c r="F145" s="3" t="s">
        <v>9</v>
      </c>
      <c r="G145" s="3" t="s">
        <v>228</v>
      </c>
      <c r="H145" s="3"/>
      <c r="I145" s="3"/>
    </row>
    <row r="146" spans="1:9" x14ac:dyDescent="0.3">
      <c r="A146" s="13" t="s">
        <v>234</v>
      </c>
      <c r="B146" s="3">
        <v>91.3</v>
      </c>
      <c r="C146" s="3">
        <v>0.85399999999999998</v>
      </c>
      <c r="D146" s="3">
        <v>0.22</v>
      </c>
      <c r="E146" s="3">
        <v>3.94</v>
      </c>
      <c r="F146" s="3" t="s">
        <v>9</v>
      </c>
      <c r="G146" s="3" t="s">
        <v>30</v>
      </c>
      <c r="H146" s="3"/>
      <c r="I146" s="3"/>
    </row>
    <row r="147" spans="1:9" x14ac:dyDescent="0.3">
      <c r="A147" s="3" t="s">
        <v>144</v>
      </c>
      <c r="B147" s="3">
        <v>298</v>
      </c>
      <c r="C147" s="3">
        <v>0.79400000000000004</v>
      </c>
      <c r="D147" s="3">
        <v>0.2</v>
      </c>
      <c r="E147" s="3">
        <v>3.92</v>
      </c>
      <c r="F147" s="3" t="s">
        <v>9</v>
      </c>
      <c r="G147" s="3" t="s">
        <v>30</v>
      </c>
      <c r="H147" s="9" t="s">
        <v>397</v>
      </c>
      <c r="I147" s="3"/>
    </row>
    <row r="148" spans="1:9" x14ac:dyDescent="0.3">
      <c r="A148" s="13" t="s">
        <v>235</v>
      </c>
      <c r="B148" s="3">
        <v>217</v>
      </c>
      <c r="C148" s="3">
        <v>0.69499999999999995</v>
      </c>
      <c r="D148" s="3">
        <v>0.18</v>
      </c>
      <c r="E148" s="3">
        <v>3.91</v>
      </c>
      <c r="F148" s="3" t="s">
        <v>9</v>
      </c>
      <c r="G148" s="3" t="s">
        <v>30</v>
      </c>
      <c r="H148" s="3"/>
      <c r="I148" s="3"/>
    </row>
    <row r="149" spans="1:9" x14ac:dyDescent="0.3">
      <c r="A149" s="13" t="s">
        <v>236</v>
      </c>
      <c r="B149" s="3">
        <v>115</v>
      </c>
      <c r="C149" s="3">
        <v>0.69099999999999995</v>
      </c>
      <c r="D149" s="3">
        <v>0.18</v>
      </c>
      <c r="E149" s="3">
        <v>3.91</v>
      </c>
      <c r="F149" s="3" t="s">
        <v>9</v>
      </c>
      <c r="G149" s="3" t="s">
        <v>30</v>
      </c>
      <c r="H149" s="3"/>
      <c r="I149" s="3"/>
    </row>
    <row r="150" spans="1:9" x14ac:dyDescent="0.3">
      <c r="A150" s="13" t="s">
        <v>237</v>
      </c>
      <c r="B150" s="3">
        <v>149</v>
      </c>
      <c r="C150" s="3">
        <v>0.82099999999999995</v>
      </c>
      <c r="D150" s="3">
        <v>0.21</v>
      </c>
      <c r="E150" s="3">
        <v>3.88</v>
      </c>
      <c r="F150" s="3" t="s">
        <v>9</v>
      </c>
      <c r="G150" s="3" t="s">
        <v>30</v>
      </c>
      <c r="H150" s="3"/>
      <c r="I150" s="3"/>
    </row>
    <row r="151" spans="1:9" x14ac:dyDescent="0.3">
      <c r="A151" s="13" t="s">
        <v>238</v>
      </c>
      <c r="B151" s="3">
        <v>63.5</v>
      </c>
      <c r="C151" s="3">
        <v>0.90800000000000003</v>
      </c>
      <c r="D151" s="3">
        <v>0.23</v>
      </c>
      <c r="E151" s="3">
        <v>3.87</v>
      </c>
      <c r="F151" s="3" t="s">
        <v>9</v>
      </c>
      <c r="G151" s="3" t="s">
        <v>30</v>
      </c>
      <c r="H151" s="3"/>
      <c r="I151" s="3"/>
    </row>
    <row r="152" spans="1:9" x14ac:dyDescent="0.3">
      <c r="A152" s="13" t="s">
        <v>239</v>
      </c>
      <c r="B152" s="3">
        <v>176</v>
      </c>
      <c r="C152" s="3">
        <v>0.68400000000000005</v>
      </c>
      <c r="D152" s="3">
        <v>0.18</v>
      </c>
      <c r="E152" s="3">
        <v>3.86</v>
      </c>
      <c r="F152" s="3" t="s">
        <v>9</v>
      </c>
      <c r="G152" s="3" t="s">
        <v>30</v>
      </c>
      <c r="H152" s="3"/>
      <c r="I152" s="3"/>
    </row>
    <row r="153" spans="1:9" x14ac:dyDescent="0.3">
      <c r="A153" s="13" t="s">
        <v>240</v>
      </c>
      <c r="B153" s="3">
        <v>461</v>
      </c>
      <c r="C153" s="3">
        <v>0.68100000000000005</v>
      </c>
      <c r="D153" s="3">
        <v>0.18</v>
      </c>
      <c r="E153" s="3">
        <v>3.86</v>
      </c>
      <c r="F153" s="3" t="s">
        <v>9</v>
      </c>
      <c r="G153" s="3" t="s">
        <v>30</v>
      </c>
      <c r="H153" s="9" t="s">
        <v>397</v>
      </c>
      <c r="I153" s="3"/>
    </row>
    <row r="154" spans="1:9" x14ac:dyDescent="0.3">
      <c r="A154" s="14" t="s">
        <v>241</v>
      </c>
      <c r="B154" s="6">
        <v>60.7</v>
      </c>
      <c r="C154" s="6">
        <v>-0.83399999999999996</v>
      </c>
      <c r="D154" s="6">
        <v>0.22</v>
      </c>
      <c r="E154" s="6">
        <v>-3.85</v>
      </c>
      <c r="F154" s="6" t="s">
        <v>9</v>
      </c>
      <c r="G154" s="6" t="s">
        <v>30</v>
      </c>
      <c r="H154" s="12" t="s">
        <v>444</v>
      </c>
      <c r="I154" s="6"/>
    </row>
    <row r="155" spans="1:9" x14ac:dyDescent="0.3">
      <c r="A155" s="13" t="s">
        <v>242</v>
      </c>
      <c r="B155" s="3">
        <v>156</v>
      </c>
      <c r="C155" s="3">
        <v>0.69499999999999995</v>
      </c>
      <c r="D155" s="3">
        <v>0.18</v>
      </c>
      <c r="E155" s="3">
        <v>3.84</v>
      </c>
      <c r="F155" s="3" t="s">
        <v>9</v>
      </c>
      <c r="G155" s="3" t="s">
        <v>30</v>
      </c>
      <c r="H155" s="3"/>
      <c r="I155" s="3"/>
    </row>
    <row r="156" spans="1:9" x14ac:dyDescent="0.3">
      <c r="A156" s="13" t="s">
        <v>243</v>
      </c>
      <c r="B156" s="3">
        <v>194</v>
      </c>
      <c r="C156" s="3">
        <v>0.68600000000000005</v>
      </c>
      <c r="D156" s="3">
        <v>0.18</v>
      </c>
      <c r="E156" s="3">
        <v>3.84</v>
      </c>
      <c r="F156" s="3" t="s">
        <v>9</v>
      </c>
      <c r="G156" s="3" t="s">
        <v>30</v>
      </c>
      <c r="H156" s="3"/>
      <c r="I156" s="3"/>
    </row>
    <row r="157" spans="1:9" x14ac:dyDescent="0.3">
      <c r="A157" s="13" t="s">
        <v>244</v>
      </c>
      <c r="B157" s="3">
        <v>56</v>
      </c>
      <c r="C157" s="3">
        <v>0.83</v>
      </c>
      <c r="D157" s="3">
        <v>0.22</v>
      </c>
      <c r="E157" s="3">
        <v>3.83</v>
      </c>
      <c r="F157" s="3" t="s">
        <v>9</v>
      </c>
      <c r="G157" s="3" t="s">
        <v>30</v>
      </c>
      <c r="H157" s="3"/>
      <c r="I157" s="3"/>
    </row>
    <row r="158" spans="1:9" x14ac:dyDescent="0.3">
      <c r="A158" s="13" t="s">
        <v>245</v>
      </c>
      <c r="B158" s="3">
        <v>198</v>
      </c>
      <c r="C158" s="3">
        <v>1.04</v>
      </c>
      <c r="D158" s="3">
        <v>0.27</v>
      </c>
      <c r="E158" s="3">
        <v>3.8</v>
      </c>
      <c r="F158" s="3" t="s">
        <v>9</v>
      </c>
      <c r="G158" s="3" t="s">
        <v>30</v>
      </c>
      <c r="H158" s="3"/>
      <c r="I158" s="3"/>
    </row>
    <row r="159" spans="1:9" x14ac:dyDescent="0.3">
      <c r="A159" s="3" t="s">
        <v>219</v>
      </c>
      <c r="B159" s="3">
        <v>348</v>
      </c>
      <c r="C159" s="3">
        <v>0.83399999999999996</v>
      </c>
      <c r="D159" s="3">
        <v>0.22</v>
      </c>
      <c r="E159" s="3">
        <v>3.79</v>
      </c>
      <c r="F159" s="3" t="s">
        <v>9</v>
      </c>
      <c r="G159" s="3" t="s">
        <v>40</v>
      </c>
      <c r="H159" s="3"/>
      <c r="I159" s="3"/>
    </row>
    <row r="160" spans="1:9" x14ac:dyDescent="0.3">
      <c r="A160" s="3" t="s">
        <v>199</v>
      </c>
      <c r="B160" s="3">
        <v>298</v>
      </c>
      <c r="C160" s="3">
        <v>0.74199999999999999</v>
      </c>
      <c r="D160" s="3">
        <v>0.2</v>
      </c>
      <c r="E160" s="3">
        <v>3.79</v>
      </c>
      <c r="F160" s="3" t="s">
        <v>9</v>
      </c>
      <c r="G160" s="3" t="s">
        <v>40</v>
      </c>
      <c r="H160" s="3"/>
      <c r="I160" s="3"/>
    </row>
    <row r="161" spans="1:9" x14ac:dyDescent="0.3">
      <c r="A161" s="13" t="s">
        <v>246</v>
      </c>
      <c r="B161" s="3">
        <v>131</v>
      </c>
      <c r="C161" s="3">
        <v>0.66400000000000003</v>
      </c>
      <c r="D161" s="3">
        <v>0.18</v>
      </c>
      <c r="E161" s="3">
        <v>3.78</v>
      </c>
      <c r="F161" s="3" t="s">
        <v>9</v>
      </c>
      <c r="G161" s="3" t="s">
        <v>40</v>
      </c>
      <c r="H161" s="3"/>
      <c r="I161" s="3"/>
    </row>
    <row r="162" spans="1:9" x14ac:dyDescent="0.3">
      <c r="A162" s="13" t="s">
        <v>247</v>
      </c>
      <c r="B162" s="3">
        <v>99.8</v>
      </c>
      <c r="C162" s="3">
        <v>0.64500000000000002</v>
      </c>
      <c r="D162" s="3">
        <v>0.17</v>
      </c>
      <c r="E162" s="3">
        <v>3.78</v>
      </c>
      <c r="F162" s="3" t="s">
        <v>9</v>
      </c>
      <c r="G162" s="3" t="s">
        <v>40</v>
      </c>
      <c r="H162" s="3"/>
      <c r="I162" s="3"/>
    </row>
    <row r="163" spans="1:9" x14ac:dyDescent="0.3">
      <c r="A163" s="13" t="s">
        <v>248</v>
      </c>
      <c r="B163" s="3">
        <v>56.8</v>
      </c>
      <c r="C163" s="3">
        <v>0.89100000000000001</v>
      </c>
      <c r="D163" s="3">
        <v>0.24</v>
      </c>
      <c r="E163" s="3">
        <v>3.77</v>
      </c>
      <c r="F163" s="3" t="s">
        <v>9</v>
      </c>
      <c r="G163" s="3" t="s">
        <v>40</v>
      </c>
      <c r="H163" s="3"/>
      <c r="I163" s="3"/>
    </row>
    <row r="164" spans="1:9" x14ac:dyDescent="0.3">
      <c r="A164" s="13" t="s">
        <v>249</v>
      </c>
      <c r="B164" s="3">
        <v>123</v>
      </c>
      <c r="C164" s="3">
        <v>0.80400000000000005</v>
      </c>
      <c r="D164" s="3">
        <v>0.21</v>
      </c>
      <c r="E164" s="3">
        <v>3.75</v>
      </c>
      <c r="F164" s="3" t="s">
        <v>9</v>
      </c>
      <c r="G164" s="3" t="s">
        <v>40</v>
      </c>
      <c r="H164" s="9" t="s">
        <v>397</v>
      </c>
      <c r="I164" s="3"/>
    </row>
    <row r="165" spans="1:9" x14ac:dyDescent="0.3">
      <c r="A165" s="13" t="s">
        <v>250</v>
      </c>
      <c r="B165" s="3">
        <v>44</v>
      </c>
      <c r="C165" s="3">
        <v>0.98099999999999998</v>
      </c>
      <c r="D165" s="3">
        <v>0.26</v>
      </c>
      <c r="E165" s="3">
        <v>3.75</v>
      </c>
      <c r="F165" s="3" t="s">
        <v>9</v>
      </c>
      <c r="G165" s="3" t="s">
        <v>40</v>
      </c>
      <c r="H165" s="3"/>
      <c r="I165" s="3"/>
    </row>
    <row r="166" spans="1:9" x14ac:dyDescent="0.3">
      <c r="A166" s="13" t="s">
        <v>251</v>
      </c>
      <c r="B166" s="3">
        <v>421</v>
      </c>
      <c r="C166" s="3">
        <v>0.88700000000000001</v>
      </c>
      <c r="D166" s="3">
        <v>0.24</v>
      </c>
      <c r="E166" s="3">
        <v>3.74</v>
      </c>
      <c r="F166" s="3" t="s">
        <v>9</v>
      </c>
      <c r="G166" s="3" t="s">
        <v>40</v>
      </c>
      <c r="H166" s="9" t="s">
        <v>397</v>
      </c>
      <c r="I166" s="3"/>
    </row>
    <row r="167" spans="1:9" x14ac:dyDescent="0.3">
      <c r="A167" s="13" t="s">
        <v>252</v>
      </c>
      <c r="B167" s="3">
        <v>175</v>
      </c>
      <c r="C167" s="3">
        <v>0.63400000000000001</v>
      </c>
      <c r="D167" s="3">
        <v>0.17</v>
      </c>
      <c r="E167" s="3">
        <v>3.74</v>
      </c>
      <c r="F167" s="3" t="s">
        <v>9</v>
      </c>
      <c r="G167" s="3" t="s">
        <v>40</v>
      </c>
      <c r="H167" s="3"/>
      <c r="I167" s="3"/>
    </row>
    <row r="168" spans="1:9" x14ac:dyDescent="0.3">
      <c r="A168" s="13" t="s">
        <v>253</v>
      </c>
      <c r="B168" s="3">
        <v>119</v>
      </c>
      <c r="C168" s="3">
        <v>0.85199999999999998</v>
      </c>
      <c r="D168" s="3">
        <v>0.23</v>
      </c>
      <c r="E168" s="3">
        <v>3.74</v>
      </c>
      <c r="F168" s="3" t="s">
        <v>9</v>
      </c>
      <c r="G168" s="3" t="s">
        <v>40</v>
      </c>
      <c r="H168" s="3"/>
      <c r="I168" s="3"/>
    </row>
    <row r="169" spans="1:9" x14ac:dyDescent="0.3">
      <c r="A169" s="13" t="s">
        <v>254</v>
      </c>
      <c r="B169" s="3">
        <v>69.8</v>
      </c>
      <c r="C169" s="3">
        <v>0.85199999999999998</v>
      </c>
      <c r="D169" s="3">
        <v>0.23</v>
      </c>
      <c r="E169" s="3">
        <v>3.74</v>
      </c>
      <c r="F169" s="3" t="s">
        <v>9</v>
      </c>
      <c r="G169" s="3" t="s">
        <v>40</v>
      </c>
      <c r="H169" s="3"/>
      <c r="I169" s="3"/>
    </row>
    <row r="170" spans="1:9" x14ac:dyDescent="0.3">
      <c r="A170" s="13" t="s">
        <v>255</v>
      </c>
      <c r="B170" s="3">
        <v>71</v>
      </c>
      <c r="C170" s="3">
        <v>0.745</v>
      </c>
      <c r="D170" s="3">
        <v>0.2</v>
      </c>
      <c r="E170" s="3">
        <v>3.72</v>
      </c>
      <c r="F170" s="3" t="s">
        <v>9</v>
      </c>
      <c r="G170" s="3" t="s">
        <v>40</v>
      </c>
      <c r="H170" s="3"/>
      <c r="I170" s="3"/>
    </row>
    <row r="171" spans="1:9" x14ac:dyDescent="0.3">
      <c r="A171" s="3" t="s">
        <v>217</v>
      </c>
      <c r="B171" s="3">
        <v>69.599999999999994</v>
      </c>
      <c r="C171" s="3">
        <v>0.77200000000000002</v>
      </c>
      <c r="D171" s="3">
        <v>0.21</v>
      </c>
      <c r="E171" s="3">
        <v>3.69</v>
      </c>
      <c r="F171" s="3" t="s">
        <v>9</v>
      </c>
      <c r="G171" s="3" t="s">
        <v>51</v>
      </c>
      <c r="H171" s="3"/>
      <c r="I171" s="3"/>
    </row>
    <row r="172" spans="1:9" x14ac:dyDescent="0.3">
      <c r="A172" s="14" t="s">
        <v>256</v>
      </c>
      <c r="B172" s="6">
        <v>41.6</v>
      </c>
      <c r="C172" s="6">
        <v>-1.4</v>
      </c>
      <c r="D172" s="6">
        <v>0.38</v>
      </c>
      <c r="E172" s="6">
        <v>-3.68</v>
      </c>
      <c r="F172" s="6" t="s">
        <v>9</v>
      </c>
      <c r="G172" s="6" t="s">
        <v>51</v>
      </c>
      <c r="H172" s="6" t="s">
        <v>408</v>
      </c>
      <c r="I172" s="6"/>
    </row>
    <row r="173" spans="1:9" x14ac:dyDescent="0.3">
      <c r="A173" s="13" t="s">
        <v>257</v>
      </c>
      <c r="B173" s="3">
        <v>31.3</v>
      </c>
      <c r="C173" s="3">
        <v>0.98099999999999998</v>
      </c>
      <c r="D173" s="3">
        <v>0.27</v>
      </c>
      <c r="E173" s="3">
        <v>3.66</v>
      </c>
      <c r="F173" s="3" t="s">
        <v>9</v>
      </c>
      <c r="G173" s="3" t="s">
        <v>51</v>
      </c>
      <c r="H173" s="3"/>
      <c r="I173" s="3"/>
    </row>
    <row r="174" spans="1:9" x14ac:dyDescent="0.3">
      <c r="A174" s="13" t="s">
        <v>258</v>
      </c>
      <c r="B174" s="3">
        <v>71.599999999999994</v>
      </c>
      <c r="C174" s="3">
        <v>0.72499999999999998</v>
      </c>
      <c r="D174" s="3">
        <v>0.2</v>
      </c>
      <c r="E174" s="3">
        <v>3.66</v>
      </c>
      <c r="F174" s="3" t="s">
        <v>9</v>
      </c>
      <c r="G174" s="3" t="s">
        <v>51</v>
      </c>
      <c r="H174" s="3"/>
      <c r="I174" s="3"/>
    </row>
    <row r="175" spans="1:9" x14ac:dyDescent="0.3">
      <c r="A175" s="3" t="s">
        <v>153</v>
      </c>
      <c r="B175" s="3">
        <v>30.8</v>
      </c>
      <c r="C175" s="3">
        <v>1.06</v>
      </c>
      <c r="D175" s="3">
        <v>0.28999999999999998</v>
      </c>
      <c r="E175" s="3">
        <v>3.64</v>
      </c>
      <c r="F175" s="3" t="s">
        <v>9</v>
      </c>
      <c r="G175" s="3" t="s">
        <v>51</v>
      </c>
      <c r="H175" s="3"/>
      <c r="I175" s="3"/>
    </row>
    <row r="176" spans="1:9" x14ac:dyDescent="0.3">
      <c r="A176" s="14" t="s">
        <v>259</v>
      </c>
      <c r="B176" s="6">
        <v>34.799999999999997</v>
      </c>
      <c r="C176" s="6">
        <v>-1.62</v>
      </c>
      <c r="D176" s="6">
        <v>0.45</v>
      </c>
      <c r="E176" s="6">
        <v>-3.63</v>
      </c>
      <c r="F176" s="6" t="s">
        <v>9</v>
      </c>
      <c r="G176" s="6" t="s">
        <v>51</v>
      </c>
      <c r="H176" s="6" t="s">
        <v>410</v>
      </c>
      <c r="I176" s="6"/>
    </row>
    <row r="177" spans="1:9" x14ac:dyDescent="0.3">
      <c r="A177" s="3" t="s">
        <v>164</v>
      </c>
      <c r="B177" s="3">
        <v>51.7</v>
      </c>
      <c r="C177" s="3">
        <v>0.76</v>
      </c>
      <c r="D177" s="3">
        <v>0.21</v>
      </c>
      <c r="E177" s="3">
        <v>3.61</v>
      </c>
      <c r="F177" s="3" t="s">
        <v>9</v>
      </c>
      <c r="G177" s="3" t="s">
        <v>260</v>
      </c>
      <c r="H177" s="3"/>
      <c r="I177" s="3"/>
    </row>
    <row r="178" spans="1:9" x14ac:dyDescent="0.3">
      <c r="A178" s="13" t="s">
        <v>155</v>
      </c>
      <c r="B178" s="3">
        <v>219</v>
      </c>
      <c r="C178" s="3">
        <v>0.58699999999999997</v>
      </c>
      <c r="D178" s="3">
        <v>0.16</v>
      </c>
      <c r="E178" s="3">
        <v>3.61</v>
      </c>
      <c r="F178" s="3" t="s">
        <v>9</v>
      </c>
      <c r="G178" s="3" t="s">
        <v>260</v>
      </c>
      <c r="H178" s="3"/>
      <c r="I178" s="3"/>
    </row>
    <row r="179" spans="1:9" x14ac:dyDescent="0.3">
      <c r="A179" s="13" t="s">
        <v>261</v>
      </c>
      <c r="B179" s="3">
        <v>151</v>
      </c>
      <c r="C179" s="3">
        <v>0.64100000000000001</v>
      </c>
      <c r="D179" s="3">
        <v>0.18</v>
      </c>
      <c r="E179" s="3">
        <v>3.56</v>
      </c>
      <c r="F179" s="3" t="s">
        <v>9</v>
      </c>
      <c r="G179" s="3" t="s">
        <v>262</v>
      </c>
      <c r="H179" s="9" t="s">
        <v>397</v>
      </c>
      <c r="I179" s="3"/>
    </row>
    <row r="180" spans="1:9" x14ac:dyDescent="0.3">
      <c r="A180" s="13" t="s">
        <v>263</v>
      </c>
      <c r="B180" s="3">
        <v>61.7</v>
      </c>
      <c r="C180" s="3">
        <v>0.871</v>
      </c>
      <c r="D180" s="3">
        <v>0.25</v>
      </c>
      <c r="E180" s="3">
        <v>3.55</v>
      </c>
      <c r="F180" s="3" t="s">
        <v>9</v>
      </c>
      <c r="G180" s="3" t="s">
        <v>262</v>
      </c>
      <c r="H180" s="3"/>
      <c r="I180" s="3"/>
    </row>
    <row r="181" spans="1:9" x14ac:dyDescent="0.3">
      <c r="A181" s="13" t="s">
        <v>264</v>
      </c>
      <c r="B181" s="3">
        <v>30.5</v>
      </c>
      <c r="C181" s="3">
        <v>1.04</v>
      </c>
      <c r="D181" s="3">
        <v>0.28999999999999998</v>
      </c>
      <c r="E181" s="3">
        <v>3.55</v>
      </c>
      <c r="F181" s="3" t="s">
        <v>9</v>
      </c>
      <c r="G181" s="3" t="s">
        <v>262</v>
      </c>
      <c r="H181" s="3"/>
      <c r="I181" s="3"/>
    </row>
    <row r="182" spans="1:9" x14ac:dyDescent="0.3">
      <c r="A182" s="13" t="s">
        <v>265</v>
      </c>
      <c r="B182" s="3">
        <v>51.5</v>
      </c>
      <c r="C182" s="3">
        <v>0.72799999999999998</v>
      </c>
      <c r="D182" s="3">
        <v>0.21</v>
      </c>
      <c r="E182" s="3">
        <v>3.55</v>
      </c>
      <c r="F182" s="3" t="s">
        <v>9</v>
      </c>
      <c r="G182" s="3" t="s">
        <v>262</v>
      </c>
      <c r="H182" s="3"/>
      <c r="I182" s="3"/>
    </row>
    <row r="183" spans="1:9" x14ac:dyDescent="0.3">
      <c r="A183" s="13" t="s">
        <v>266</v>
      </c>
      <c r="B183" s="3">
        <v>179</v>
      </c>
      <c r="C183" s="3">
        <v>0.70699999999999996</v>
      </c>
      <c r="D183" s="3">
        <v>0.2</v>
      </c>
      <c r="E183" s="3">
        <v>3.54</v>
      </c>
      <c r="F183" s="3" t="s">
        <v>9</v>
      </c>
      <c r="G183" s="3" t="s">
        <v>262</v>
      </c>
      <c r="H183" s="9" t="s">
        <v>397</v>
      </c>
      <c r="I183" s="3"/>
    </row>
    <row r="184" spans="1:9" x14ac:dyDescent="0.3">
      <c r="A184" s="13" t="s">
        <v>267</v>
      </c>
      <c r="B184" s="3">
        <v>169</v>
      </c>
      <c r="C184" s="3">
        <v>0.63200000000000001</v>
      </c>
      <c r="D184" s="3">
        <v>0.18</v>
      </c>
      <c r="E184" s="3">
        <v>3.54</v>
      </c>
      <c r="F184" s="3" t="s">
        <v>9</v>
      </c>
      <c r="G184" s="3" t="s">
        <v>262</v>
      </c>
      <c r="H184" s="3"/>
      <c r="I184" s="3"/>
    </row>
    <row r="185" spans="1:9" x14ac:dyDescent="0.3">
      <c r="A185" s="13" t="s">
        <v>268</v>
      </c>
      <c r="B185" s="3">
        <v>133</v>
      </c>
      <c r="C185" s="3">
        <v>0.68600000000000005</v>
      </c>
      <c r="D185" s="3">
        <v>0.19</v>
      </c>
      <c r="E185" s="3">
        <v>3.54</v>
      </c>
      <c r="F185" s="3" t="s">
        <v>9</v>
      </c>
      <c r="G185" s="3" t="s">
        <v>262</v>
      </c>
      <c r="H185" s="3"/>
      <c r="I185" s="3"/>
    </row>
    <row r="186" spans="1:9" x14ac:dyDescent="0.3">
      <c r="A186" s="3" t="s">
        <v>171</v>
      </c>
      <c r="B186" s="3">
        <v>53.3</v>
      </c>
      <c r="C186" s="3">
        <v>0.86899999999999999</v>
      </c>
      <c r="D186" s="3">
        <v>0.25</v>
      </c>
      <c r="E186" s="3">
        <v>3.53</v>
      </c>
      <c r="F186" s="3" t="s">
        <v>9</v>
      </c>
      <c r="G186" s="3" t="s">
        <v>262</v>
      </c>
      <c r="H186" s="3"/>
      <c r="I186" s="3"/>
    </row>
    <row r="187" spans="1:9" x14ac:dyDescent="0.3">
      <c r="A187" s="13" t="s">
        <v>269</v>
      </c>
      <c r="B187" s="3">
        <v>167</v>
      </c>
      <c r="C187" s="3">
        <v>0.80900000000000005</v>
      </c>
      <c r="D187" s="3">
        <v>0.23</v>
      </c>
      <c r="E187" s="3">
        <v>3.52</v>
      </c>
      <c r="F187" s="3" t="s">
        <v>9</v>
      </c>
      <c r="G187" s="3" t="s">
        <v>262</v>
      </c>
      <c r="H187" s="3"/>
      <c r="I187" s="3"/>
    </row>
    <row r="188" spans="1:9" x14ac:dyDescent="0.3">
      <c r="A188" s="13" t="s">
        <v>270</v>
      </c>
      <c r="B188" s="3">
        <v>179</v>
      </c>
      <c r="C188" s="3">
        <v>0.71099999999999997</v>
      </c>
      <c r="D188" s="3">
        <v>0.2</v>
      </c>
      <c r="E188" s="3">
        <v>3.52</v>
      </c>
      <c r="F188" s="3" t="s">
        <v>9</v>
      </c>
      <c r="G188" s="3" t="s">
        <v>262</v>
      </c>
      <c r="H188" s="3"/>
      <c r="I188" s="3"/>
    </row>
    <row r="189" spans="1:9" x14ac:dyDescent="0.3">
      <c r="A189" s="13" t="s">
        <v>271</v>
      </c>
      <c r="B189" s="3">
        <v>152</v>
      </c>
      <c r="C189" s="3">
        <v>0.77700000000000002</v>
      </c>
      <c r="D189" s="3">
        <v>0.22</v>
      </c>
      <c r="E189" s="3">
        <v>3.52</v>
      </c>
      <c r="F189" s="3" t="s">
        <v>9</v>
      </c>
      <c r="G189" s="3" t="s">
        <v>262</v>
      </c>
      <c r="H189" s="3"/>
      <c r="I189" s="3"/>
    </row>
    <row r="190" spans="1:9" x14ac:dyDescent="0.3">
      <c r="A190" s="13" t="s">
        <v>272</v>
      </c>
      <c r="B190" s="3">
        <v>73.8</v>
      </c>
      <c r="C190" s="3">
        <v>0.92</v>
      </c>
      <c r="D190" s="3">
        <v>0.26</v>
      </c>
      <c r="E190" s="3">
        <v>3.52</v>
      </c>
      <c r="F190" s="3" t="s">
        <v>9</v>
      </c>
      <c r="G190" s="3" t="s">
        <v>262</v>
      </c>
      <c r="H190" s="3"/>
      <c r="I190" s="3"/>
    </row>
    <row r="191" spans="1:9" x14ac:dyDescent="0.3">
      <c r="A191" s="3" t="s">
        <v>123</v>
      </c>
      <c r="B191" s="3">
        <v>96</v>
      </c>
      <c r="C191" s="3">
        <v>0.70899999999999996</v>
      </c>
      <c r="D191" s="3">
        <v>0.2</v>
      </c>
      <c r="E191" s="3">
        <v>3.52</v>
      </c>
      <c r="F191" s="3" t="s">
        <v>9</v>
      </c>
      <c r="G191" s="3" t="s">
        <v>262</v>
      </c>
      <c r="H191" s="3"/>
      <c r="I191" s="3"/>
    </row>
    <row r="192" spans="1:9" x14ac:dyDescent="0.3">
      <c r="A192" s="13" t="s">
        <v>273</v>
      </c>
      <c r="B192" s="3">
        <v>66.3</v>
      </c>
      <c r="C192" s="3">
        <v>0.64900000000000002</v>
      </c>
      <c r="D192" s="3">
        <v>0.19</v>
      </c>
      <c r="E192" s="3">
        <v>3.48</v>
      </c>
      <c r="F192" s="3" t="s">
        <v>9</v>
      </c>
      <c r="G192" s="3" t="s">
        <v>53</v>
      </c>
      <c r="H192" s="3"/>
      <c r="I192" s="3"/>
    </row>
    <row r="193" spans="1:9" x14ac:dyDescent="0.3">
      <c r="A193" s="13" t="s">
        <v>274</v>
      </c>
      <c r="B193" s="3">
        <v>57.6</v>
      </c>
      <c r="C193" s="3">
        <v>0.80400000000000005</v>
      </c>
      <c r="D193" s="3">
        <v>0.23</v>
      </c>
      <c r="E193" s="3">
        <v>3.48</v>
      </c>
      <c r="F193" s="3" t="s">
        <v>9</v>
      </c>
      <c r="G193" s="3" t="s">
        <v>53</v>
      </c>
      <c r="H193" s="3"/>
      <c r="I193" s="3"/>
    </row>
    <row r="194" spans="1:9" x14ac:dyDescent="0.3">
      <c r="A194" s="6" t="s">
        <v>216</v>
      </c>
      <c r="B194" s="6">
        <v>94.8</v>
      </c>
      <c r="C194" s="6">
        <v>-0.66200000000000003</v>
      </c>
      <c r="D194" s="6">
        <v>0.19</v>
      </c>
      <c r="E194" s="6">
        <v>-3.47</v>
      </c>
      <c r="F194" s="6" t="s">
        <v>9</v>
      </c>
      <c r="G194" s="6" t="s">
        <v>53</v>
      </c>
      <c r="H194" s="6" t="s">
        <v>445</v>
      </c>
      <c r="I194" s="6"/>
    </row>
    <row r="195" spans="1:9" x14ac:dyDescent="0.3">
      <c r="A195" s="13" t="s">
        <v>275</v>
      </c>
      <c r="B195" s="3">
        <v>26</v>
      </c>
      <c r="C195" s="3">
        <v>1.05</v>
      </c>
      <c r="D195" s="3">
        <v>0.3</v>
      </c>
      <c r="E195" s="3">
        <v>3.47</v>
      </c>
      <c r="F195" s="3" t="s">
        <v>9</v>
      </c>
      <c r="G195" s="3" t="s">
        <v>53</v>
      </c>
      <c r="H195" s="3"/>
      <c r="I195" s="3"/>
    </row>
    <row r="196" spans="1:9" x14ac:dyDescent="0.3">
      <c r="A196" s="3" t="s">
        <v>210</v>
      </c>
      <c r="B196" s="3">
        <v>110</v>
      </c>
      <c r="C196" s="3">
        <v>0.67</v>
      </c>
      <c r="D196" s="3">
        <v>0.19</v>
      </c>
      <c r="E196" s="3">
        <v>3.46</v>
      </c>
      <c r="F196" s="3" t="s">
        <v>9</v>
      </c>
      <c r="G196" s="3" t="s">
        <v>53</v>
      </c>
      <c r="H196" s="3"/>
      <c r="I196" s="3"/>
    </row>
    <row r="197" spans="1:9" x14ac:dyDescent="0.3">
      <c r="A197" s="14" t="s">
        <v>276</v>
      </c>
      <c r="B197" s="6">
        <v>41.6</v>
      </c>
      <c r="C197" s="6">
        <v>-0.89800000000000002</v>
      </c>
      <c r="D197" s="6">
        <v>0.26</v>
      </c>
      <c r="E197" s="6">
        <v>-3.44</v>
      </c>
      <c r="F197" s="6" t="s">
        <v>9</v>
      </c>
      <c r="G197" s="6" t="s">
        <v>277</v>
      </c>
      <c r="H197" s="6" t="s">
        <v>25</v>
      </c>
      <c r="I197" s="6"/>
    </row>
    <row r="198" spans="1:9" x14ac:dyDescent="0.3">
      <c r="A198" s="13" t="s">
        <v>278</v>
      </c>
      <c r="B198" s="3">
        <v>64.3</v>
      </c>
      <c r="C198" s="3">
        <v>0.751</v>
      </c>
      <c r="D198" s="3">
        <v>0.22</v>
      </c>
      <c r="E198" s="3">
        <v>3.44</v>
      </c>
      <c r="F198" s="3" t="s">
        <v>9</v>
      </c>
      <c r="G198" s="3" t="s">
        <v>277</v>
      </c>
      <c r="H198" s="3"/>
      <c r="I198" s="3"/>
    </row>
    <row r="199" spans="1:9" x14ac:dyDescent="0.3">
      <c r="A199" s="13" t="s">
        <v>279</v>
      </c>
      <c r="B199" s="3">
        <v>55.3</v>
      </c>
      <c r="C199" s="3">
        <v>0.755</v>
      </c>
      <c r="D199" s="3">
        <v>0.22</v>
      </c>
      <c r="E199" s="3">
        <v>3.43</v>
      </c>
      <c r="F199" s="3" t="s">
        <v>9</v>
      </c>
      <c r="G199" s="3" t="s">
        <v>277</v>
      </c>
      <c r="H199" s="3"/>
      <c r="I199" s="3"/>
    </row>
    <row r="200" spans="1:9" x14ac:dyDescent="0.3">
      <c r="A200" s="6" t="s">
        <v>50</v>
      </c>
      <c r="B200" s="6">
        <v>64.7</v>
      </c>
      <c r="C200" s="6">
        <v>-0.90300000000000002</v>
      </c>
      <c r="D200" s="6">
        <v>0.26</v>
      </c>
      <c r="E200" s="6">
        <v>-3.43</v>
      </c>
      <c r="F200" s="6" t="s">
        <v>9</v>
      </c>
      <c r="G200" s="6" t="s">
        <v>277</v>
      </c>
      <c r="H200" s="12" t="s">
        <v>430</v>
      </c>
      <c r="I200" s="6"/>
    </row>
    <row r="201" spans="1:9" x14ac:dyDescent="0.3">
      <c r="A201" s="13" t="s">
        <v>280</v>
      </c>
      <c r="B201" s="3">
        <v>187</v>
      </c>
      <c r="C201" s="3">
        <v>0.71699999999999997</v>
      </c>
      <c r="D201" s="3">
        <v>0.21</v>
      </c>
      <c r="E201" s="3">
        <v>3.42</v>
      </c>
      <c r="F201" s="3" t="s">
        <v>9</v>
      </c>
      <c r="G201" s="3" t="s">
        <v>277</v>
      </c>
      <c r="H201" s="3"/>
      <c r="I201" s="3"/>
    </row>
    <row r="202" spans="1:9" x14ac:dyDescent="0.3">
      <c r="A202" s="13" t="s">
        <v>282</v>
      </c>
      <c r="B202" s="3">
        <v>99.1</v>
      </c>
      <c r="C202" s="3">
        <v>0.69299999999999995</v>
      </c>
      <c r="D202" s="3">
        <v>0.2</v>
      </c>
      <c r="E202" s="3">
        <v>3.42</v>
      </c>
      <c r="F202" s="3" t="s">
        <v>9</v>
      </c>
      <c r="G202" s="3" t="s">
        <v>277</v>
      </c>
      <c r="H202" s="3"/>
      <c r="I202" s="3"/>
    </row>
    <row r="203" spans="1:9" x14ac:dyDescent="0.3">
      <c r="A203" s="14" t="s">
        <v>281</v>
      </c>
      <c r="B203" s="6">
        <v>126</v>
      </c>
      <c r="C203" s="6">
        <v>-0.76300000000000001</v>
      </c>
      <c r="D203" s="6">
        <v>0.22</v>
      </c>
      <c r="E203" s="6">
        <v>-3.42</v>
      </c>
      <c r="F203" s="6" t="s">
        <v>9</v>
      </c>
      <c r="G203" s="6" t="s">
        <v>277</v>
      </c>
      <c r="H203" s="6" t="s">
        <v>446</v>
      </c>
      <c r="I203" s="6"/>
    </row>
    <row r="204" spans="1:9" x14ac:dyDescent="0.3">
      <c r="A204" s="13" t="s">
        <v>283</v>
      </c>
      <c r="B204" s="3">
        <v>132</v>
      </c>
      <c r="C204" s="3">
        <v>0.61599999999999999</v>
      </c>
      <c r="D204" s="3">
        <v>0.18</v>
      </c>
      <c r="E204" s="3">
        <v>3.41</v>
      </c>
      <c r="F204" s="3" t="s">
        <v>9</v>
      </c>
      <c r="G204" s="3" t="s">
        <v>277</v>
      </c>
      <c r="H204" s="9" t="s">
        <v>397</v>
      </c>
      <c r="I204" s="3"/>
    </row>
    <row r="205" spans="1:9" x14ac:dyDescent="0.3">
      <c r="A205" s="3" t="s">
        <v>201</v>
      </c>
      <c r="B205" s="3">
        <v>24.6</v>
      </c>
      <c r="C205" s="3">
        <v>1</v>
      </c>
      <c r="D205" s="3">
        <v>0.28999999999999998</v>
      </c>
      <c r="E205" s="3">
        <v>3.41</v>
      </c>
      <c r="F205" s="3" t="s">
        <v>9</v>
      </c>
      <c r="G205" s="3" t="s">
        <v>277</v>
      </c>
      <c r="H205" s="3"/>
      <c r="I205" s="3"/>
    </row>
    <row r="206" spans="1:9" x14ac:dyDescent="0.3">
      <c r="A206" s="3" t="s">
        <v>194</v>
      </c>
      <c r="B206" s="3">
        <v>28.3</v>
      </c>
      <c r="C206" s="3">
        <v>0.94799999999999995</v>
      </c>
      <c r="D206" s="3">
        <v>0.28000000000000003</v>
      </c>
      <c r="E206" s="3">
        <v>3.4</v>
      </c>
      <c r="F206" s="3" t="s">
        <v>9</v>
      </c>
      <c r="G206" s="3" t="s">
        <v>277</v>
      </c>
      <c r="H206" s="3"/>
      <c r="I206" s="3"/>
    </row>
    <row r="207" spans="1:9" x14ac:dyDescent="0.3">
      <c r="A207" s="13" t="s">
        <v>284</v>
      </c>
      <c r="B207" s="3">
        <v>10100</v>
      </c>
      <c r="C207" s="3">
        <v>0.73</v>
      </c>
      <c r="D207" s="3">
        <v>0.22</v>
      </c>
      <c r="E207" s="3">
        <v>3.38</v>
      </c>
      <c r="F207" s="3" t="s">
        <v>9</v>
      </c>
      <c r="G207" s="3" t="s">
        <v>58</v>
      </c>
      <c r="H207" s="3"/>
      <c r="I207" s="3"/>
    </row>
    <row r="208" spans="1:9" x14ac:dyDescent="0.3">
      <c r="A208" s="14" t="s">
        <v>285</v>
      </c>
      <c r="B208" s="6">
        <v>30.3</v>
      </c>
      <c r="C208" s="6">
        <v>-1.56</v>
      </c>
      <c r="D208" s="6">
        <v>0.46</v>
      </c>
      <c r="E208" s="6">
        <v>-3.37</v>
      </c>
      <c r="F208" s="6" t="s">
        <v>9</v>
      </c>
      <c r="G208" s="6" t="s">
        <v>286</v>
      </c>
      <c r="H208" s="6" t="s">
        <v>408</v>
      </c>
      <c r="I208" s="6"/>
    </row>
    <row r="209" spans="1:9" x14ac:dyDescent="0.3">
      <c r="A209" s="13" t="s">
        <v>287</v>
      </c>
      <c r="B209" s="3">
        <v>117</v>
      </c>
      <c r="C209" s="3">
        <v>0.74299999999999999</v>
      </c>
      <c r="D209" s="3">
        <v>0.22</v>
      </c>
      <c r="E209" s="3">
        <v>3.36</v>
      </c>
      <c r="F209" s="3" t="s">
        <v>9</v>
      </c>
      <c r="G209" s="3" t="s">
        <v>286</v>
      </c>
      <c r="H209" s="3"/>
      <c r="I209" s="3"/>
    </row>
    <row r="210" spans="1:9" x14ac:dyDescent="0.3">
      <c r="A210" s="13" t="s">
        <v>288</v>
      </c>
      <c r="B210" s="3">
        <v>83.3</v>
      </c>
      <c r="C210" s="3">
        <v>0.74</v>
      </c>
      <c r="D210" s="3">
        <v>0.22</v>
      </c>
      <c r="E210" s="3">
        <v>3.35</v>
      </c>
      <c r="F210" s="3" t="s">
        <v>9</v>
      </c>
      <c r="G210" s="3" t="s">
        <v>286</v>
      </c>
      <c r="H210" s="9" t="s">
        <v>397</v>
      </c>
      <c r="I210" s="3"/>
    </row>
    <row r="211" spans="1:9" x14ac:dyDescent="0.3">
      <c r="A211" s="13" t="s">
        <v>290</v>
      </c>
      <c r="B211" s="3">
        <v>32.1</v>
      </c>
      <c r="C211" s="3">
        <v>0.96299999999999997</v>
      </c>
      <c r="D211" s="3">
        <v>0.28999999999999998</v>
      </c>
      <c r="E211" s="3">
        <v>3.34</v>
      </c>
      <c r="F211" s="3" t="s">
        <v>9</v>
      </c>
      <c r="G211" s="3" t="s">
        <v>289</v>
      </c>
      <c r="H211" s="3"/>
      <c r="I211" s="3"/>
    </row>
    <row r="212" spans="1:9" x14ac:dyDescent="0.3">
      <c r="A212" s="3" t="s">
        <v>203</v>
      </c>
      <c r="B212" s="3">
        <v>339</v>
      </c>
      <c r="C212" s="3">
        <v>1.26</v>
      </c>
      <c r="D212" s="3">
        <v>0.38</v>
      </c>
      <c r="E212" s="3">
        <v>3.34</v>
      </c>
      <c r="F212" s="3" t="s">
        <v>9</v>
      </c>
      <c r="G212" s="3" t="s">
        <v>289</v>
      </c>
      <c r="H212" s="3"/>
      <c r="I212" s="3"/>
    </row>
    <row r="213" spans="1:9" x14ac:dyDescent="0.3">
      <c r="A213" s="13" t="s">
        <v>291</v>
      </c>
      <c r="B213" s="3">
        <v>74.8</v>
      </c>
      <c r="C213" s="3">
        <v>0.622</v>
      </c>
      <c r="D213" s="3">
        <v>0.19</v>
      </c>
      <c r="E213" s="3">
        <v>3.33</v>
      </c>
      <c r="F213" s="3" t="s">
        <v>9</v>
      </c>
      <c r="G213" s="3" t="s">
        <v>61</v>
      </c>
      <c r="H213" s="3"/>
      <c r="I213" s="3"/>
    </row>
    <row r="214" spans="1:9" x14ac:dyDescent="0.3">
      <c r="A214" s="13" t="s">
        <v>292</v>
      </c>
      <c r="B214" s="3">
        <v>126</v>
      </c>
      <c r="C214" s="3">
        <v>0.63100000000000001</v>
      </c>
      <c r="D214" s="3">
        <v>0.19</v>
      </c>
      <c r="E214" s="3">
        <v>3.31</v>
      </c>
      <c r="F214" s="3" t="s">
        <v>9</v>
      </c>
      <c r="G214" s="3" t="s">
        <v>61</v>
      </c>
      <c r="H214" s="3"/>
      <c r="I214" s="3"/>
    </row>
    <row r="215" spans="1:9" x14ac:dyDescent="0.3">
      <c r="A215" s="13" t="s">
        <v>293</v>
      </c>
      <c r="B215" s="3">
        <v>30.4</v>
      </c>
      <c r="C215" s="3">
        <v>0.99</v>
      </c>
      <c r="D215" s="3">
        <v>0.3</v>
      </c>
      <c r="E215" s="3">
        <v>3.3</v>
      </c>
      <c r="F215" s="3" t="s">
        <v>9</v>
      </c>
      <c r="G215" s="3" t="s">
        <v>294</v>
      </c>
      <c r="H215" s="3"/>
      <c r="I215" s="3"/>
    </row>
    <row r="216" spans="1:9" x14ac:dyDescent="0.3">
      <c r="A216" s="14" t="s">
        <v>295</v>
      </c>
      <c r="B216" s="6">
        <v>29.6</v>
      </c>
      <c r="C216" s="6">
        <v>-1.02</v>
      </c>
      <c r="D216" s="6">
        <v>0.31</v>
      </c>
      <c r="E216" s="6">
        <v>-3.29</v>
      </c>
      <c r="F216" s="6" t="s">
        <v>9</v>
      </c>
      <c r="G216" s="6" t="s">
        <v>294</v>
      </c>
      <c r="H216" s="6" t="s">
        <v>25</v>
      </c>
      <c r="I216" s="6"/>
    </row>
    <row r="217" spans="1:9" x14ac:dyDescent="0.3">
      <c r="A217" s="13" t="s">
        <v>296</v>
      </c>
      <c r="B217" s="3">
        <v>62.4</v>
      </c>
      <c r="C217" s="3">
        <v>0.67300000000000004</v>
      </c>
      <c r="D217" s="3">
        <v>0.2</v>
      </c>
      <c r="E217" s="3">
        <v>3.29</v>
      </c>
      <c r="F217" s="3">
        <v>1E-3</v>
      </c>
      <c r="G217" s="3" t="s">
        <v>294</v>
      </c>
      <c r="H217" s="3"/>
      <c r="I217" s="3"/>
    </row>
    <row r="218" spans="1:9" x14ac:dyDescent="0.3">
      <c r="A218" s="13" t="s">
        <v>297</v>
      </c>
      <c r="B218" s="3">
        <v>39.6</v>
      </c>
      <c r="C218" s="3">
        <v>0.80800000000000005</v>
      </c>
      <c r="D218" s="3">
        <v>0.25</v>
      </c>
      <c r="E218" s="3">
        <v>3.29</v>
      </c>
      <c r="F218" s="3" t="s">
        <v>9</v>
      </c>
      <c r="G218" s="3" t="s">
        <v>294</v>
      </c>
      <c r="H218" s="3"/>
      <c r="I218" s="3"/>
    </row>
    <row r="219" spans="1:9" x14ac:dyDescent="0.3">
      <c r="A219" s="13" t="s">
        <v>298</v>
      </c>
      <c r="B219" s="3">
        <v>45.9</v>
      </c>
      <c r="C219" s="3">
        <v>0.75800000000000001</v>
      </c>
      <c r="D219" s="3">
        <v>0.23</v>
      </c>
      <c r="E219" s="3">
        <v>3.29</v>
      </c>
      <c r="F219" s="3">
        <v>1E-3</v>
      </c>
      <c r="G219" s="3" t="s">
        <v>294</v>
      </c>
      <c r="H219" s="3"/>
      <c r="I219" s="3"/>
    </row>
    <row r="220" spans="1:9" x14ac:dyDescent="0.3">
      <c r="A220" s="13" t="s">
        <v>299</v>
      </c>
      <c r="B220" s="3">
        <v>41.7</v>
      </c>
      <c r="C220" s="3">
        <v>0.79200000000000004</v>
      </c>
      <c r="D220" s="3">
        <v>0.24</v>
      </c>
      <c r="E220" s="3">
        <v>3.28</v>
      </c>
      <c r="F220" s="3">
        <v>1E-3</v>
      </c>
      <c r="G220" s="3" t="s">
        <v>294</v>
      </c>
      <c r="H220" s="3"/>
      <c r="I220" s="3"/>
    </row>
    <row r="221" spans="1:9" x14ac:dyDescent="0.3">
      <c r="A221" s="13" t="s">
        <v>300</v>
      </c>
      <c r="B221" s="3">
        <v>97.4</v>
      </c>
      <c r="C221" s="3">
        <v>0.63100000000000001</v>
      </c>
      <c r="D221" s="3">
        <v>0.19</v>
      </c>
      <c r="E221" s="3">
        <v>3.28</v>
      </c>
      <c r="F221" s="3">
        <v>1E-3</v>
      </c>
      <c r="G221" s="3" t="s">
        <v>294</v>
      </c>
      <c r="H221" s="3"/>
      <c r="I221" s="3"/>
    </row>
    <row r="222" spans="1:9" x14ac:dyDescent="0.3">
      <c r="A222" s="13" t="s">
        <v>301</v>
      </c>
      <c r="B222" s="3">
        <v>103</v>
      </c>
      <c r="C222" s="3">
        <v>0.61899999999999999</v>
      </c>
      <c r="D222" s="3">
        <v>0.19</v>
      </c>
      <c r="E222" s="3">
        <v>3.27</v>
      </c>
      <c r="F222" s="3">
        <v>1E-3</v>
      </c>
      <c r="G222" s="3" t="s">
        <v>294</v>
      </c>
      <c r="H222" s="3"/>
      <c r="I222" s="3"/>
    </row>
    <row r="223" spans="1:9" x14ac:dyDescent="0.3">
      <c r="A223" s="13" t="s">
        <v>302</v>
      </c>
      <c r="B223" s="3">
        <v>31.7</v>
      </c>
      <c r="C223" s="3">
        <v>0.81399999999999995</v>
      </c>
      <c r="D223" s="3">
        <v>0.25</v>
      </c>
      <c r="E223" s="3">
        <v>3.25</v>
      </c>
      <c r="F223" s="3">
        <v>1E-3</v>
      </c>
      <c r="G223" s="3" t="s">
        <v>10</v>
      </c>
      <c r="H223" s="3"/>
      <c r="I223" s="3"/>
    </row>
    <row r="224" spans="1:9" x14ac:dyDescent="0.3">
      <c r="A224" s="13" t="s">
        <v>303</v>
      </c>
      <c r="B224" s="3">
        <v>29.7</v>
      </c>
      <c r="C224" s="3">
        <v>0.94199999999999995</v>
      </c>
      <c r="D224" s="3">
        <v>0.28999999999999998</v>
      </c>
      <c r="E224" s="3">
        <v>3.25</v>
      </c>
      <c r="F224" s="3">
        <v>1E-3</v>
      </c>
      <c r="G224" s="3" t="s">
        <v>10</v>
      </c>
      <c r="H224" s="3"/>
      <c r="I224" s="3"/>
    </row>
    <row r="225" spans="1:9" x14ac:dyDescent="0.3">
      <c r="A225" s="13" t="s">
        <v>304</v>
      </c>
      <c r="B225" s="3">
        <v>75.2</v>
      </c>
      <c r="C225" s="3">
        <v>0.69</v>
      </c>
      <c r="D225" s="3">
        <v>0.21</v>
      </c>
      <c r="E225" s="3">
        <v>3.25</v>
      </c>
      <c r="F225" s="3">
        <v>1E-3</v>
      </c>
      <c r="G225" s="3" t="s">
        <v>10</v>
      </c>
      <c r="H225" s="3"/>
      <c r="I225" s="3"/>
    </row>
    <row r="226" spans="1:9" x14ac:dyDescent="0.3">
      <c r="A226" s="13" t="s">
        <v>305</v>
      </c>
      <c r="B226" s="3">
        <v>110</v>
      </c>
      <c r="C226" s="3">
        <v>0.73599999999999999</v>
      </c>
      <c r="D226" s="3">
        <v>0.23</v>
      </c>
      <c r="E226" s="3">
        <v>3.25</v>
      </c>
      <c r="F226" s="3">
        <v>1E-3</v>
      </c>
      <c r="G226" s="3" t="s">
        <v>10</v>
      </c>
      <c r="H226" s="3"/>
      <c r="I226" s="3"/>
    </row>
    <row r="227" spans="1:9" x14ac:dyDescent="0.3">
      <c r="A227" s="13" t="s">
        <v>306</v>
      </c>
      <c r="B227" s="3">
        <v>39.299999999999997</v>
      </c>
      <c r="C227" s="3">
        <v>0.85399999999999998</v>
      </c>
      <c r="D227" s="3">
        <v>0.26</v>
      </c>
      <c r="E227" s="3">
        <v>3.24</v>
      </c>
      <c r="F227" s="3">
        <v>1E-3</v>
      </c>
      <c r="G227" s="3" t="s">
        <v>307</v>
      </c>
      <c r="H227" s="3"/>
      <c r="I227" s="3"/>
    </row>
    <row r="228" spans="1:9" x14ac:dyDescent="0.3">
      <c r="A228" s="13" t="s">
        <v>308</v>
      </c>
      <c r="B228" s="3">
        <v>68.7</v>
      </c>
      <c r="C228" s="3">
        <v>0.67600000000000005</v>
      </c>
      <c r="D228" s="3">
        <v>0.21</v>
      </c>
      <c r="E228" s="3">
        <v>3.23</v>
      </c>
      <c r="F228" s="3">
        <v>1E-3</v>
      </c>
      <c r="G228" s="3" t="s">
        <v>307</v>
      </c>
      <c r="H228" s="3"/>
      <c r="I228" s="3"/>
    </row>
    <row r="229" spans="1:9" x14ac:dyDescent="0.3">
      <c r="A229" s="13" t="s">
        <v>309</v>
      </c>
      <c r="B229" s="3">
        <v>67.7</v>
      </c>
      <c r="C229" s="3">
        <v>0.67800000000000005</v>
      </c>
      <c r="D229" s="3">
        <v>0.21</v>
      </c>
      <c r="E229" s="3">
        <v>3.22</v>
      </c>
      <c r="F229" s="3">
        <v>1E-3</v>
      </c>
      <c r="G229" s="3" t="s">
        <v>307</v>
      </c>
      <c r="H229" s="3"/>
      <c r="I229" s="3"/>
    </row>
    <row r="230" spans="1:9" x14ac:dyDescent="0.3">
      <c r="A230" s="13" t="s">
        <v>310</v>
      </c>
      <c r="B230" s="3">
        <v>70.5</v>
      </c>
      <c r="C230" s="3">
        <v>0.66200000000000003</v>
      </c>
      <c r="D230" s="3">
        <v>0.21</v>
      </c>
      <c r="E230" s="3">
        <v>3.21</v>
      </c>
      <c r="F230" s="3">
        <v>1E-3</v>
      </c>
      <c r="G230" s="3" t="s">
        <v>307</v>
      </c>
      <c r="H230" s="3"/>
      <c r="I230" s="3"/>
    </row>
    <row r="231" spans="1:9" x14ac:dyDescent="0.3">
      <c r="A231" s="3" t="s">
        <v>169</v>
      </c>
      <c r="B231" s="3">
        <v>63.6</v>
      </c>
      <c r="C231" s="3">
        <v>0.65500000000000003</v>
      </c>
      <c r="D231" s="3">
        <v>0.2</v>
      </c>
      <c r="E231" s="3">
        <v>3.21</v>
      </c>
      <c r="F231" s="3">
        <v>1E-3</v>
      </c>
      <c r="G231" s="3" t="s">
        <v>67</v>
      </c>
      <c r="H231" s="3"/>
      <c r="I231" s="3"/>
    </row>
    <row r="232" spans="1:9" x14ac:dyDescent="0.3">
      <c r="A232" s="13" t="s">
        <v>311</v>
      </c>
      <c r="B232" s="3">
        <v>59.1</v>
      </c>
      <c r="C232" s="3">
        <v>0.67400000000000004</v>
      </c>
      <c r="D232" s="3">
        <v>0.21</v>
      </c>
      <c r="E232" s="3">
        <v>3.21</v>
      </c>
      <c r="F232" s="3">
        <v>1E-3</v>
      </c>
      <c r="G232" s="3" t="s">
        <v>67</v>
      </c>
      <c r="H232" s="3"/>
      <c r="I232" s="3"/>
    </row>
    <row r="233" spans="1:9" x14ac:dyDescent="0.3">
      <c r="A233" s="13" t="s">
        <v>312</v>
      </c>
      <c r="B233" s="3">
        <v>84.9</v>
      </c>
      <c r="C233" s="3">
        <v>1.1200000000000001</v>
      </c>
      <c r="D233" s="3">
        <v>0.35</v>
      </c>
      <c r="E233" s="3">
        <v>3.2</v>
      </c>
      <c r="F233" s="3">
        <v>1E-3</v>
      </c>
      <c r="G233" s="3" t="s">
        <v>67</v>
      </c>
      <c r="H233" s="3"/>
      <c r="I233" s="3"/>
    </row>
    <row r="234" spans="1:9" x14ac:dyDescent="0.3">
      <c r="A234" s="13" t="s">
        <v>313</v>
      </c>
      <c r="B234" s="3">
        <v>45.7</v>
      </c>
      <c r="C234" s="3">
        <v>0.70899999999999996</v>
      </c>
      <c r="D234" s="3">
        <v>0.22</v>
      </c>
      <c r="E234" s="3">
        <v>3.2</v>
      </c>
      <c r="F234" s="3">
        <v>1E-3</v>
      </c>
      <c r="G234" s="3" t="s">
        <v>67</v>
      </c>
      <c r="H234" s="3"/>
      <c r="I234" s="3"/>
    </row>
    <row r="235" spans="1:9" x14ac:dyDescent="0.3">
      <c r="A235" s="13" t="s">
        <v>314</v>
      </c>
      <c r="B235" s="3">
        <v>48.9</v>
      </c>
      <c r="C235" s="3">
        <v>0.88500000000000001</v>
      </c>
      <c r="D235" s="3">
        <v>0.28000000000000003</v>
      </c>
      <c r="E235" s="3">
        <v>3.2</v>
      </c>
      <c r="F235" s="3">
        <v>1E-3</v>
      </c>
      <c r="G235" s="3" t="s">
        <v>67</v>
      </c>
      <c r="H235" s="3"/>
      <c r="I235" s="3"/>
    </row>
    <row r="236" spans="1:9" x14ac:dyDescent="0.3">
      <c r="A236" s="3" t="s">
        <v>186</v>
      </c>
      <c r="B236" s="3">
        <v>55.1</v>
      </c>
      <c r="C236" s="3">
        <v>0.75700000000000001</v>
      </c>
      <c r="D236" s="3">
        <v>0.24</v>
      </c>
      <c r="E236" s="3">
        <v>3.18</v>
      </c>
      <c r="F236" s="3">
        <v>1E-3</v>
      </c>
      <c r="G236" s="3" t="s">
        <v>70</v>
      </c>
      <c r="H236" s="3"/>
      <c r="I236" s="3"/>
    </row>
    <row r="237" spans="1:9" x14ac:dyDescent="0.3">
      <c r="A237" s="13" t="s">
        <v>315</v>
      </c>
      <c r="B237" s="3">
        <v>209</v>
      </c>
      <c r="C237" s="3">
        <v>0.63800000000000001</v>
      </c>
      <c r="D237" s="3">
        <v>0.2</v>
      </c>
      <c r="E237" s="3">
        <v>3.17</v>
      </c>
      <c r="F237" s="3">
        <v>2E-3</v>
      </c>
      <c r="G237" s="3" t="s">
        <v>70</v>
      </c>
      <c r="H237" s="3"/>
      <c r="I237" s="3"/>
    </row>
    <row r="238" spans="1:9" x14ac:dyDescent="0.3">
      <c r="A238" s="14" t="s">
        <v>316</v>
      </c>
      <c r="B238" s="6">
        <v>27.2</v>
      </c>
      <c r="C238" s="6">
        <v>-0.91200000000000003</v>
      </c>
      <c r="D238" s="6">
        <v>0.28999999999999998</v>
      </c>
      <c r="E238" s="6">
        <v>-3.15</v>
      </c>
      <c r="F238" s="6">
        <v>2E-3</v>
      </c>
      <c r="G238" s="6" t="s">
        <v>72</v>
      </c>
      <c r="H238" s="6"/>
      <c r="I238" s="6"/>
    </row>
    <row r="239" spans="1:9" x14ac:dyDescent="0.3">
      <c r="A239" s="13" t="s">
        <v>317</v>
      </c>
      <c r="B239" s="3">
        <v>66.900000000000006</v>
      </c>
      <c r="C239" s="3">
        <v>0.68899999999999995</v>
      </c>
      <c r="D239" s="3">
        <v>0.22</v>
      </c>
      <c r="E239" s="3">
        <v>3.15</v>
      </c>
      <c r="F239" s="3">
        <v>2E-3</v>
      </c>
      <c r="G239" s="3" t="s">
        <v>318</v>
      </c>
      <c r="H239" s="3"/>
      <c r="I239" s="3"/>
    </row>
    <row r="240" spans="1:9" x14ac:dyDescent="0.3">
      <c r="A240" s="13" t="s">
        <v>319</v>
      </c>
      <c r="B240" s="3">
        <v>9650</v>
      </c>
      <c r="C240" s="3">
        <v>0.69099999999999995</v>
      </c>
      <c r="D240" s="3">
        <v>0.22</v>
      </c>
      <c r="E240" s="3">
        <v>3.13</v>
      </c>
      <c r="F240" s="3">
        <v>2E-3</v>
      </c>
      <c r="G240" s="3" t="s">
        <v>318</v>
      </c>
      <c r="H240" s="3"/>
      <c r="I240" s="3"/>
    </row>
    <row r="241" spans="1:9" x14ac:dyDescent="0.3">
      <c r="A241" s="13" t="s">
        <v>320</v>
      </c>
      <c r="B241" s="3">
        <v>26.5</v>
      </c>
      <c r="C241" s="3">
        <v>1.03</v>
      </c>
      <c r="D241" s="3">
        <v>0.33</v>
      </c>
      <c r="E241" s="3">
        <v>3.13</v>
      </c>
      <c r="F241" s="3">
        <v>2E-3</v>
      </c>
      <c r="G241" s="3" t="s">
        <v>321</v>
      </c>
      <c r="H241" s="3"/>
      <c r="I241" s="3"/>
    </row>
    <row r="242" spans="1:9" x14ac:dyDescent="0.3">
      <c r="A242" s="13" t="s">
        <v>322</v>
      </c>
      <c r="B242" s="3">
        <v>69.8</v>
      </c>
      <c r="C242" s="3">
        <v>0.63</v>
      </c>
      <c r="D242" s="3">
        <v>0.2</v>
      </c>
      <c r="E242" s="3">
        <v>3.11</v>
      </c>
      <c r="F242" s="3">
        <v>2E-3</v>
      </c>
      <c r="G242" s="3" t="s">
        <v>74</v>
      </c>
      <c r="H242" s="3"/>
      <c r="I242" s="3"/>
    </row>
    <row r="243" spans="1:9" x14ac:dyDescent="0.3">
      <c r="A243" s="14" t="s">
        <v>323</v>
      </c>
      <c r="B243" s="6">
        <v>62.4</v>
      </c>
      <c r="C243" s="6">
        <v>-0.755</v>
      </c>
      <c r="D243" s="6">
        <v>0.24</v>
      </c>
      <c r="E243" s="6">
        <v>-3.11</v>
      </c>
      <c r="F243" s="6">
        <v>2E-3</v>
      </c>
      <c r="G243" s="6" t="s">
        <v>74</v>
      </c>
      <c r="H243" s="6"/>
      <c r="I243" s="6"/>
    </row>
    <row r="244" spans="1:9" x14ac:dyDescent="0.3">
      <c r="A244" s="13" t="s">
        <v>324</v>
      </c>
      <c r="B244" s="3">
        <v>33</v>
      </c>
      <c r="C244" s="3">
        <v>1.1200000000000001</v>
      </c>
      <c r="D244" s="3">
        <v>0.36</v>
      </c>
      <c r="E244" s="3">
        <v>3.1</v>
      </c>
      <c r="F244" s="3">
        <v>2E-3</v>
      </c>
      <c r="G244" s="3" t="s">
        <v>74</v>
      </c>
      <c r="H244" s="3"/>
      <c r="I244" s="3"/>
    </row>
    <row r="245" spans="1:9" x14ac:dyDescent="0.3">
      <c r="A245" s="13" t="s">
        <v>325</v>
      </c>
      <c r="B245" s="3">
        <v>55.5</v>
      </c>
      <c r="C245" s="3">
        <v>0.65</v>
      </c>
      <c r="D245" s="3">
        <v>0.21</v>
      </c>
      <c r="E245" s="3">
        <v>3.1</v>
      </c>
      <c r="F245" s="3">
        <v>2E-3</v>
      </c>
      <c r="G245" s="3" t="s">
        <v>74</v>
      </c>
      <c r="H245" s="3"/>
      <c r="I245" s="3"/>
    </row>
    <row r="246" spans="1:9" x14ac:dyDescent="0.3">
      <c r="A246" s="13" t="s">
        <v>326</v>
      </c>
      <c r="B246" s="3">
        <v>47.2</v>
      </c>
      <c r="C246" s="3">
        <v>0.69299999999999995</v>
      </c>
      <c r="D246" s="3">
        <v>0.22</v>
      </c>
      <c r="E246" s="3">
        <v>3.09</v>
      </c>
      <c r="F246" s="3">
        <v>2E-3</v>
      </c>
      <c r="G246" s="3" t="s">
        <v>327</v>
      </c>
      <c r="H246" s="3"/>
      <c r="I246" s="3"/>
    </row>
    <row r="247" spans="1:9" x14ac:dyDescent="0.3">
      <c r="A247" s="14" t="s">
        <v>328</v>
      </c>
      <c r="B247" s="6">
        <v>45</v>
      </c>
      <c r="C247" s="6">
        <v>-0.69599999999999995</v>
      </c>
      <c r="D247" s="6">
        <v>0.23</v>
      </c>
      <c r="E247" s="6">
        <v>-3.08</v>
      </c>
      <c r="F247" s="6">
        <v>2E-3</v>
      </c>
      <c r="G247" s="6" t="s">
        <v>327</v>
      </c>
      <c r="H247" s="6"/>
      <c r="I247" s="6"/>
    </row>
    <row r="248" spans="1:9" x14ac:dyDescent="0.3">
      <c r="A248" s="13" t="s">
        <v>329</v>
      </c>
      <c r="B248" s="3">
        <v>77.599999999999994</v>
      </c>
      <c r="C248" s="3">
        <v>0.63700000000000001</v>
      </c>
      <c r="D248" s="3">
        <v>0.21</v>
      </c>
      <c r="E248" s="3">
        <v>3.06</v>
      </c>
      <c r="F248" s="3">
        <v>2E-3</v>
      </c>
      <c r="G248" s="3" t="s">
        <v>81</v>
      </c>
      <c r="H248" s="3"/>
      <c r="I248" s="3"/>
    </row>
    <row r="249" spans="1:9" x14ac:dyDescent="0.3">
      <c r="A249" s="14" t="s">
        <v>330</v>
      </c>
      <c r="B249" s="6">
        <v>52.2</v>
      </c>
      <c r="C249" s="6">
        <v>-0.624</v>
      </c>
      <c r="D249" s="6">
        <v>0.2</v>
      </c>
      <c r="E249" s="6">
        <v>-3.05</v>
      </c>
      <c r="F249" s="6">
        <v>2E-3</v>
      </c>
      <c r="G249" s="6" t="s">
        <v>81</v>
      </c>
      <c r="H249" s="6"/>
      <c r="I249" s="6"/>
    </row>
    <row r="250" spans="1:9" x14ac:dyDescent="0.3">
      <c r="A250" s="13" t="s">
        <v>331</v>
      </c>
      <c r="B250" s="3">
        <v>24.6</v>
      </c>
      <c r="C250" s="3">
        <v>1.06</v>
      </c>
      <c r="D250" s="3">
        <v>0.35</v>
      </c>
      <c r="E250" s="3">
        <v>3.05</v>
      </c>
      <c r="F250" s="3">
        <v>2E-3</v>
      </c>
      <c r="G250" s="3" t="s">
        <v>81</v>
      </c>
      <c r="H250" s="3"/>
      <c r="I250" s="3"/>
    </row>
    <row r="251" spans="1:9" x14ac:dyDescent="0.3">
      <c r="A251" s="13" t="s">
        <v>332</v>
      </c>
      <c r="B251" s="3">
        <v>55</v>
      </c>
      <c r="C251" s="3">
        <v>0.60599999999999998</v>
      </c>
      <c r="D251" s="3">
        <v>0.2</v>
      </c>
      <c r="E251" s="3">
        <v>3.04</v>
      </c>
      <c r="F251" s="3">
        <v>2E-3</v>
      </c>
      <c r="G251" s="3" t="s">
        <v>84</v>
      </c>
      <c r="H251" s="3"/>
      <c r="I251" s="3"/>
    </row>
    <row r="252" spans="1:9" x14ac:dyDescent="0.3">
      <c r="A252" s="13" t="s">
        <v>333</v>
      </c>
      <c r="B252" s="3">
        <v>29.4</v>
      </c>
      <c r="C252" s="3">
        <v>0.91900000000000004</v>
      </c>
      <c r="D252" s="3">
        <v>0.3</v>
      </c>
      <c r="E252" s="3">
        <v>3.04</v>
      </c>
      <c r="F252" s="3">
        <v>2E-3</v>
      </c>
      <c r="G252" s="3" t="s">
        <v>84</v>
      </c>
      <c r="H252" s="3"/>
      <c r="I252" s="3"/>
    </row>
    <row r="253" spans="1:9" x14ac:dyDescent="0.3">
      <c r="A253" s="13" t="s">
        <v>334</v>
      </c>
      <c r="B253" s="3">
        <v>45.4</v>
      </c>
      <c r="C253" s="3">
        <v>0.80900000000000005</v>
      </c>
      <c r="D253" s="3">
        <v>0.27</v>
      </c>
      <c r="E253" s="3">
        <v>3.02</v>
      </c>
      <c r="F253" s="3">
        <v>2E-3</v>
      </c>
      <c r="G253" s="3" t="s">
        <v>335</v>
      </c>
      <c r="H253" s="3"/>
      <c r="I253" s="3"/>
    </row>
    <row r="254" spans="1:9" x14ac:dyDescent="0.3">
      <c r="A254" s="14" t="s">
        <v>336</v>
      </c>
      <c r="B254" s="6">
        <v>23.4</v>
      </c>
      <c r="C254" s="6">
        <v>-0.92100000000000004</v>
      </c>
      <c r="D254" s="6">
        <v>0.31</v>
      </c>
      <c r="E254" s="6">
        <v>-3.02</v>
      </c>
      <c r="F254" s="6">
        <v>3.0000000000000001E-3</v>
      </c>
      <c r="G254" s="6" t="s">
        <v>335</v>
      </c>
      <c r="H254" s="6"/>
      <c r="I254" s="6"/>
    </row>
    <row r="255" spans="1:9" x14ac:dyDescent="0.3">
      <c r="A255" s="13" t="s">
        <v>337</v>
      </c>
      <c r="B255" s="3">
        <v>74.2</v>
      </c>
      <c r="C255" s="3">
        <v>0.72899999999999998</v>
      </c>
      <c r="D255" s="3">
        <v>0.24</v>
      </c>
      <c r="E255" s="3">
        <v>3.01</v>
      </c>
      <c r="F255" s="3">
        <v>3.0000000000000001E-3</v>
      </c>
      <c r="G255" s="3" t="s">
        <v>338</v>
      </c>
      <c r="H255" s="3"/>
      <c r="I255" s="3"/>
    </row>
    <row r="256" spans="1:9" x14ac:dyDescent="0.3">
      <c r="A256" s="14" t="s">
        <v>339</v>
      </c>
      <c r="B256" s="6">
        <v>55</v>
      </c>
      <c r="C256" s="6">
        <v>-0.68500000000000005</v>
      </c>
      <c r="D256" s="6">
        <v>0.23</v>
      </c>
      <c r="E256" s="6">
        <v>-3</v>
      </c>
      <c r="F256" s="6">
        <v>3.0000000000000001E-3</v>
      </c>
      <c r="G256" s="6" t="s">
        <v>338</v>
      </c>
      <c r="H256" s="6"/>
      <c r="I256" s="6"/>
    </row>
    <row r="257" spans="1:9" x14ac:dyDescent="0.3">
      <c r="A257" s="13" t="s">
        <v>340</v>
      </c>
      <c r="B257" s="3">
        <v>107</v>
      </c>
      <c r="C257" s="3">
        <v>0.61899999999999999</v>
      </c>
      <c r="D257" s="3">
        <v>0.21</v>
      </c>
      <c r="E257" s="3">
        <v>2.99</v>
      </c>
      <c r="F257" s="3">
        <v>3.0000000000000001E-3</v>
      </c>
      <c r="G257" s="3" t="s">
        <v>86</v>
      </c>
      <c r="H257" s="3"/>
      <c r="I257" s="3"/>
    </row>
    <row r="258" spans="1:9" x14ac:dyDescent="0.3">
      <c r="A258" s="13" t="s">
        <v>341</v>
      </c>
      <c r="B258" s="3">
        <v>193</v>
      </c>
      <c r="C258" s="3">
        <v>0.61299999999999999</v>
      </c>
      <c r="D258" s="3">
        <v>0.21</v>
      </c>
      <c r="E258" s="3">
        <v>2.99</v>
      </c>
      <c r="F258" s="3">
        <v>3.0000000000000001E-3</v>
      </c>
      <c r="G258" s="3" t="s">
        <v>86</v>
      </c>
      <c r="H258" s="10" t="s">
        <v>433</v>
      </c>
      <c r="I258" s="3"/>
    </row>
    <row r="259" spans="1:9" x14ac:dyDescent="0.3">
      <c r="A259" s="13" t="s">
        <v>342</v>
      </c>
      <c r="B259" s="3">
        <v>24</v>
      </c>
      <c r="C259" s="3">
        <v>0.96</v>
      </c>
      <c r="D259" s="3">
        <v>0.32</v>
      </c>
      <c r="E259" s="3">
        <v>2.98</v>
      </c>
      <c r="F259" s="3">
        <v>3.0000000000000001E-3</v>
      </c>
      <c r="G259" s="3" t="s">
        <v>97</v>
      </c>
      <c r="H259" s="3"/>
      <c r="I259" s="3"/>
    </row>
    <row r="260" spans="1:9" x14ac:dyDescent="0.3">
      <c r="A260" s="13" t="s">
        <v>343</v>
      </c>
      <c r="B260" s="3">
        <v>53.7</v>
      </c>
      <c r="C260" s="3">
        <v>0.69899999999999995</v>
      </c>
      <c r="D260" s="3">
        <v>0.23</v>
      </c>
      <c r="E260" s="3">
        <v>2.98</v>
      </c>
      <c r="F260" s="3">
        <v>3.0000000000000001E-3</v>
      </c>
      <c r="G260" s="3" t="s">
        <v>97</v>
      </c>
      <c r="H260" s="3"/>
      <c r="I260" s="3"/>
    </row>
    <row r="261" spans="1:9" x14ac:dyDescent="0.3">
      <c r="A261" s="14" t="s">
        <v>344</v>
      </c>
      <c r="B261" s="6">
        <v>48.4</v>
      </c>
      <c r="C261" s="6">
        <v>-0.79800000000000004</v>
      </c>
      <c r="D261" s="6">
        <v>0.27</v>
      </c>
      <c r="E261" s="6">
        <v>-2.95</v>
      </c>
      <c r="F261" s="6">
        <v>3.0000000000000001E-3</v>
      </c>
      <c r="G261" s="6" t="s">
        <v>141</v>
      </c>
      <c r="H261" s="6"/>
      <c r="I261" s="6"/>
    </row>
    <row r="262" spans="1:9" x14ac:dyDescent="0.3">
      <c r="A262" s="13" t="s">
        <v>345</v>
      </c>
      <c r="B262" s="3">
        <v>27.8</v>
      </c>
      <c r="C262" s="3">
        <v>0.85499999999999998</v>
      </c>
      <c r="D262" s="3">
        <v>0.28999999999999998</v>
      </c>
      <c r="E262" s="3">
        <v>2.94</v>
      </c>
      <c r="F262" s="3">
        <v>3.0000000000000001E-3</v>
      </c>
      <c r="G262" s="3" t="s">
        <v>141</v>
      </c>
      <c r="H262" s="3" t="s">
        <v>447</v>
      </c>
      <c r="I262" s="3"/>
    </row>
    <row r="263" spans="1:9" x14ac:dyDescent="0.3">
      <c r="A263" s="13" t="s">
        <v>346</v>
      </c>
      <c r="B263" s="3">
        <v>26.9</v>
      </c>
      <c r="C263" s="3">
        <v>0.879</v>
      </c>
      <c r="D263" s="3">
        <v>0.3</v>
      </c>
      <c r="E263" s="3">
        <v>2.89</v>
      </c>
      <c r="F263" s="3">
        <v>4.0000000000000001E-3</v>
      </c>
      <c r="G263" s="3" t="s">
        <v>184</v>
      </c>
      <c r="H263" s="3"/>
      <c r="I263" s="3"/>
    </row>
    <row r="264" spans="1:9" x14ac:dyDescent="0.3">
      <c r="A264" s="13" t="s">
        <v>347</v>
      </c>
      <c r="B264" s="3">
        <v>45.1</v>
      </c>
      <c r="C264" s="3">
        <v>0.628</v>
      </c>
      <c r="D264" s="3">
        <v>0.22</v>
      </c>
      <c r="E264" s="3">
        <v>2.87</v>
      </c>
      <c r="F264" s="3">
        <v>4.0000000000000001E-3</v>
      </c>
      <c r="G264" s="3" t="s">
        <v>195</v>
      </c>
      <c r="H264" s="3"/>
      <c r="I264" s="3"/>
    </row>
    <row r="265" spans="1:9" x14ac:dyDescent="0.3">
      <c r="A265" s="13" t="s">
        <v>348</v>
      </c>
      <c r="B265" s="3">
        <v>36.200000000000003</v>
      </c>
      <c r="C265" s="3">
        <v>0.68600000000000005</v>
      </c>
      <c r="D265" s="3">
        <v>0.24</v>
      </c>
      <c r="E265" s="3">
        <v>2.87</v>
      </c>
      <c r="F265" s="3">
        <v>4.0000000000000001E-3</v>
      </c>
      <c r="G265" s="3" t="s">
        <v>195</v>
      </c>
      <c r="H265" s="3"/>
      <c r="I265" s="3"/>
    </row>
    <row r="266" spans="1:9" x14ac:dyDescent="0.3">
      <c r="A266" s="14" t="s">
        <v>350</v>
      </c>
      <c r="B266" s="6">
        <v>64.400000000000006</v>
      </c>
      <c r="C266" s="6">
        <v>-0.79600000000000004</v>
      </c>
      <c r="D266" s="6">
        <v>0.28000000000000003</v>
      </c>
      <c r="E266" s="6">
        <v>-2.85</v>
      </c>
      <c r="F266" s="6">
        <v>4.0000000000000001E-3</v>
      </c>
      <c r="G266" s="6" t="s">
        <v>349</v>
      </c>
      <c r="H266" s="6"/>
      <c r="I266" s="6"/>
    </row>
    <row r="267" spans="1:9" x14ac:dyDescent="0.3">
      <c r="A267" s="13" t="s">
        <v>351</v>
      </c>
      <c r="B267" s="3">
        <v>30.3</v>
      </c>
      <c r="C267" s="3">
        <v>0.84399999999999997</v>
      </c>
      <c r="D267" s="3">
        <v>0.3</v>
      </c>
      <c r="E267" s="3">
        <v>2.83</v>
      </c>
      <c r="F267" s="3">
        <v>5.0000000000000001E-3</v>
      </c>
      <c r="G267" s="3" t="s">
        <v>206</v>
      </c>
      <c r="H267" s="3"/>
      <c r="I267" s="3"/>
    </row>
    <row r="268" spans="1:9" x14ac:dyDescent="0.3">
      <c r="A268" s="13" t="s">
        <v>352</v>
      </c>
      <c r="B268" s="3">
        <v>41.4</v>
      </c>
      <c r="C268" s="3">
        <v>0.71099999999999997</v>
      </c>
      <c r="D268" s="3">
        <v>0.25</v>
      </c>
      <c r="E268" s="3">
        <v>2.82</v>
      </c>
      <c r="F268" s="3">
        <v>5.0000000000000001E-3</v>
      </c>
      <c r="G268" s="3" t="s">
        <v>211</v>
      </c>
      <c r="H268" s="3"/>
      <c r="I268" s="3"/>
    </row>
    <row r="269" spans="1:9" x14ac:dyDescent="0.3">
      <c r="A269" s="14" t="s">
        <v>353</v>
      </c>
      <c r="B269" s="6">
        <v>65.599999999999994</v>
      </c>
      <c r="C269" s="6">
        <v>-0.88100000000000001</v>
      </c>
      <c r="D269" s="6">
        <v>0.31</v>
      </c>
      <c r="E269" s="6">
        <v>-2.81</v>
      </c>
      <c r="F269" s="6">
        <v>5.0000000000000001E-3</v>
      </c>
      <c r="G269" s="6" t="s">
        <v>212</v>
      </c>
      <c r="H269" s="6"/>
      <c r="I269" s="6"/>
    </row>
    <row r="270" spans="1:9" x14ac:dyDescent="0.3">
      <c r="A270" s="13" t="s">
        <v>354</v>
      </c>
      <c r="B270" s="3">
        <v>36.5</v>
      </c>
      <c r="C270" s="3">
        <v>0.66800000000000004</v>
      </c>
      <c r="D270" s="3">
        <v>0.24</v>
      </c>
      <c r="E270" s="3">
        <v>2.81</v>
      </c>
      <c r="F270" s="3">
        <v>5.0000000000000001E-3</v>
      </c>
      <c r="G270" s="3" t="s">
        <v>212</v>
      </c>
      <c r="H270" s="3"/>
      <c r="I270" s="3"/>
    </row>
    <row r="271" spans="1:9" x14ac:dyDescent="0.3">
      <c r="A271" s="13" t="s">
        <v>355</v>
      </c>
      <c r="B271" s="3">
        <v>25.6</v>
      </c>
      <c r="C271" s="3">
        <v>0.93700000000000006</v>
      </c>
      <c r="D271" s="3">
        <v>0.34</v>
      </c>
      <c r="E271" s="3">
        <v>2.79</v>
      </c>
      <c r="F271" s="3">
        <v>5.0000000000000001E-3</v>
      </c>
      <c r="G271" s="3" t="s">
        <v>13</v>
      </c>
      <c r="H271" s="3"/>
      <c r="I271" s="3"/>
    </row>
    <row r="272" spans="1:9" x14ac:dyDescent="0.3">
      <c r="A272" s="13" t="s">
        <v>356</v>
      </c>
      <c r="B272" s="3">
        <v>81.2</v>
      </c>
      <c r="C272" s="3">
        <v>0.72599999999999998</v>
      </c>
      <c r="D272" s="3">
        <v>0.26</v>
      </c>
      <c r="E272" s="3">
        <v>2.79</v>
      </c>
      <c r="F272" s="3">
        <v>5.0000000000000001E-3</v>
      </c>
      <c r="G272" s="3" t="s">
        <v>17</v>
      </c>
      <c r="H272" s="3"/>
      <c r="I272" s="3"/>
    </row>
    <row r="273" spans="1:9" x14ac:dyDescent="0.3">
      <c r="A273" s="13" t="s">
        <v>357</v>
      </c>
      <c r="B273" s="3">
        <v>24.8</v>
      </c>
      <c r="C273" s="3">
        <v>0.90700000000000003</v>
      </c>
      <c r="D273" s="3">
        <v>0.33</v>
      </c>
      <c r="E273" s="3">
        <v>2.79</v>
      </c>
      <c r="F273" s="3">
        <v>5.0000000000000001E-3</v>
      </c>
      <c r="G273" s="3" t="s">
        <v>17</v>
      </c>
      <c r="H273" s="3"/>
      <c r="I273" s="3"/>
    </row>
    <row r="274" spans="1:9" x14ac:dyDescent="0.3">
      <c r="A274" s="13" t="s">
        <v>358</v>
      </c>
      <c r="B274" s="3">
        <v>41</v>
      </c>
      <c r="C274" s="3">
        <v>0.66</v>
      </c>
      <c r="D274" s="3">
        <v>0.24</v>
      </c>
      <c r="E274" s="3">
        <v>2.78</v>
      </c>
      <c r="F274" s="3">
        <v>5.0000000000000001E-3</v>
      </c>
      <c r="G274" s="3" t="s">
        <v>17</v>
      </c>
      <c r="H274" s="3"/>
      <c r="I274" s="3"/>
    </row>
    <row r="275" spans="1:9" x14ac:dyDescent="0.3">
      <c r="A275" s="13" t="s">
        <v>359</v>
      </c>
      <c r="B275" s="3">
        <v>37.299999999999997</v>
      </c>
      <c r="C275" s="3">
        <v>0.63100000000000001</v>
      </c>
      <c r="D275" s="3">
        <v>0.23</v>
      </c>
      <c r="E275" s="3">
        <v>2.78</v>
      </c>
      <c r="F275" s="3">
        <v>6.0000000000000001E-3</v>
      </c>
      <c r="G275" s="3" t="s">
        <v>360</v>
      </c>
      <c r="H275" s="3"/>
      <c r="I275" s="3"/>
    </row>
    <row r="276" spans="1:9" x14ac:dyDescent="0.3">
      <c r="A276" s="13" t="s">
        <v>361</v>
      </c>
      <c r="B276" s="3">
        <v>28.3</v>
      </c>
      <c r="C276" s="3">
        <v>0.78300000000000003</v>
      </c>
      <c r="D276" s="3">
        <v>0.28000000000000003</v>
      </c>
      <c r="E276" s="3">
        <v>2.77</v>
      </c>
      <c r="F276" s="3">
        <v>6.0000000000000001E-3</v>
      </c>
      <c r="G276" s="3" t="s">
        <v>224</v>
      </c>
      <c r="H276" s="3"/>
      <c r="I276" s="3"/>
    </row>
    <row r="277" spans="1:9" x14ac:dyDescent="0.3">
      <c r="A277" s="13" t="s">
        <v>363</v>
      </c>
      <c r="B277" s="3">
        <v>60.1</v>
      </c>
      <c r="C277" s="3">
        <v>0.64600000000000002</v>
      </c>
      <c r="D277" s="3">
        <v>0.23</v>
      </c>
      <c r="E277" s="3">
        <v>2.76</v>
      </c>
      <c r="F277" s="3">
        <v>6.0000000000000001E-3</v>
      </c>
      <c r="G277" s="3" t="s">
        <v>224</v>
      </c>
      <c r="H277" s="3"/>
      <c r="I277" s="3"/>
    </row>
    <row r="278" spans="1:9" x14ac:dyDescent="0.3">
      <c r="A278" s="13" t="s">
        <v>364</v>
      </c>
      <c r="B278" s="3">
        <v>32.6</v>
      </c>
      <c r="C278" s="3">
        <v>0.73799999999999999</v>
      </c>
      <c r="D278" s="3">
        <v>0.27</v>
      </c>
      <c r="E278" s="3">
        <v>2.77</v>
      </c>
      <c r="F278" s="3">
        <v>6.0000000000000001E-3</v>
      </c>
      <c r="G278" s="3" t="s">
        <v>224</v>
      </c>
      <c r="H278" s="3"/>
      <c r="I278" s="3"/>
    </row>
    <row r="279" spans="1:9" x14ac:dyDescent="0.3">
      <c r="A279" s="14" t="s">
        <v>362</v>
      </c>
      <c r="B279" s="6">
        <v>194</v>
      </c>
      <c r="C279" s="6">
        <v>-0.747</v>
      </c>
      <c r="D279" s="6">
        <v>0.27</v>
      </c>
      <c r="E279" s="6">
        <v>-2.76</v>
      </c>
      <c r="F279" s="6">
        <v>6.0000000000000001E-3</v>
      </c>
      <c r="G279" s="6" t="s">
        <v>224</v>
      </c>
      <c r="H279" s="6"/>
      <c r="I279" s="6"/>
    </row>
    <row r="280" spans="1:9" x14ac:dyDescent="0.3">
      <c r="A280" s="14" t="s">
        <v>365</v>
      </c>
      <c r="B280" s="6">
        <v>27.9</v>
      </c>
      <c r="C280" s="6">
        <v>-0.90800000000000003</v>
      </c>
      <c r="D280" s="6">
        <v>0.33</v>
      </c>
      <c r="E280" s="6">
        <v>-2.76</v>
      </c>
      <c r="F280" s="6">
        <v>6.0000000000000001E-3</v>
      </c>
      <c r="G280" s="6" t="s">
        <v>224</v>
      </c>
      <c r="H280" s="6"/>
      <c r="I280" s="6"/>
    </row>
    <row r="281" spans="1:9" x14ac:dyDescent="0.3">
      <c r="A281" s="14" t="s">
        <v>366</v>
      </c>
      <c r="B281" s="6">
        <v>108</v>
      </c>
      <c r="C281" s="6">
        <v>-0.626</v>
      </c>
      <c r="D281" s="6">
        <v>0.23</v>
      </c>
      <c r="E281" s="6">
        <v>-2.76</v>
      </c>
      <c r="F281" s="6">
        <v>6.0000000000000001E-3</v>
      </c>
      <c r="G281" s="6" t="s">
        <v>224</v>
      </c>
      <c r="H281" s="6"/>
      <c r="I281" s="6"/>
    </row>
    <row r="282" spans="1:9" x14ac:dyDescent="0.3">
      <c r="A282" s="13" t="s">
        <v>367</v>
      </c>
      <c r="B282" s="3">
        <v>58.4</v>
      </c>
      <c r="C282" s="3">
        <v>0.77800000000000002</v>
      </c>
      <c r="D282" s="3">
        <v>0.28000000000000003</v>
      </c>
      <c r="E282" s="3">
        <v>2.75</v>
      </c>
      <c r="F282" s="3">
        <v>6.0000000000000001E-3</v>
      </c>
      <c r="G282" s="3" t="s">
        <v>368</v>
      </c>
      <c r="H282" s="3"/>
      <c r="I282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6960-CD16-44F1-AED2-49C6A0B0EA53}">
  <dimension ref="A1:AC18"/>
  <sheetViews>
    <sheetView topLeftCell="C1" zoomScale="70" zoomScaleNormal="70" workbookViewId="0">
      <selection activeCell="K4" sqref="K4:Q18"/>
    </sheetView>
  </sheetViews>
  <sheetFormatPr baseColWidth="10" defaultRowHeight="14.4" x14ac:dyDescent="0.3"/>
  <cols>
    <col min="1" max="1" width="13.88671875" bestFit="1" customWidth="1"/>
    <col min="2" max="2" width="15.109375" bestFit="1" customWidth="1"/>
    <col min="3" max="3" width="7.6640625" bestFit="1" customWidth="1"/>
    <col min="4" max="4" width="14.77734375" bestFit="1" customWidth="1"/>
    <col min="5" max="5" width="14.77734375" customWidth="1"/>
    <col min="7" max="7" width="13.33203125" bestFit="1" customWidth="1"/>
    <col min="12" max="12" width="15.109375" bestFit="1" customWidth="1"/>
    <col min="13" max="13" width="8" bestFit="1" customWidth="1"/>
    <col min="14" max="14" width="13.6640625" bestFit="1" customWidth="1"/>
    <col min="15" max="15" width="13.6640625" customWidth="1"/>
    <col min="16" max="16" width="6.88671875" bestFit="1" customWidth="1"/>
    <col min="17" max="17" width="13.33203125" bestFit="1" customWidth="1"/>
    <col min="21" max="21" width="11.6640625" bestFit="1" customWidth="1"/>
    <col min="22" max="22" width="18" bestFit="1" customWidth="1"/>
    <col min="24" max="24" width="14.6640625" bestFit="1" customWidth="1"/>
    <col min="25" max="25" width="14.6640625" customWidth="1"/>
    <col min="26" max="26" width="6.88671875" bestFit="1" customWidth="1"/>
    <col min="27" max="27" width="7.88671875" bestFit="1" customWidth="1"/>
  </cols>
  <sheetData>
    <row r="1" spans="1:29" x14ac:dyDescent="0.3">
      <c r="A1" s="2" t="s">
        <v>373</v>
      </c>
      <c r="B1" s="2" t="s">
        <v>370</v>
      </c>
      <c r="C1" s="2" t="s">
        <v>378</v>
      </c>
      <c r="D1" t="s">
        <v>18</v>
      </c>
      <c r="E1">
        <f>COUNT(C5:C500)</f>
        <v>2</v>
      </c>
      <c r="G1" s="2" t="s">
        <v>440</v>
      </c>
      <c r="K1" s="2" t="s">
        <v>373</v>
      </c>
      <c r="L1" s="2" t="s">
        <v>370</v>
      </c>
      <c r="M1" s="2" t="s">
        <v>378</v>
      </c>
      <c r="N1" t="s">
        <v>18</v>
      </c>
      <c r="O1">
        <f>COUNT(M5:M500)</f>
        <v>14</v>
      </c>
      <c r="R1" s="2" t="s">
        <v>440</v>
      </c>
      <c r="U1" s="2" t="s">
        <v>373</v>
      </c>
      <c r="V1" s="2" t="s">
        <v>370</v>
      </c>
      <c r="W1" s="2" t="s">
        <v>378</v>
      </c>
      <c r="X1" t="s">
        <v>18</v>
      </c>
      <c r="Y1">
        <f>COUNT(W5:W500)</f>
        <v>0</v>
      </c>
      <c r="AA1" s="2" t="s">
        <v>440</v>
      </c>
    </row>
    <row r="2" spans="1:29" x14ac:dyDescent="0.3">
      <c r="A2" t="s">
        <v>372</v>
      </c>
      <c r="B2" s="2" t="s">
        <v>374</v>
      </c>
      <c r="C2" s="2"/>
      <c r="D2" t="s">
        <v>0</v>
      </c>
      <c r="E2">
        <f>COUNTIF(C5:C500,"&gt;0")</f>
        <v>1</v>
      </c>
      <c r="G2" s="2" t="s">
        <v>441</v>
      </c>
      <c r="K2" t="s">
        <v>372</v>
      </c>
      <c r="L2" s="2" t="s">
        <v>375</v>
      </c>
      <c r="M2" s="2"/>
      <c r="N2" t="s">
        <v>0</v>
      </c>
      <c r="O2">
        <f>COUNTIF(M5:M500,"&gt;0")</f>
        <v>6</v>
      </c>
      <c r="R2" s="2" t="s">
        <v>441</v>
      </c>
      <c r="U2" t="s">
        <v>372</v>
      </c>
      <c r="V2" s="2" t="s">
        <v>376</v>
      </c>
      <c r="W2" s="2"/>
      <c r="X2" t="s">
        <v>0</v>
      </c>
      <c r="Y2">
        <f>COUNTIF(W5:W500,"&gt;0")</f>
        <v>0</v>
      </c>
      <c r="AA2" s="2" t="s">
        <v>441</v>
      </c>
    </row>
    <row r="3" spans="1:29" x14ac:dyDescent="0.3">
      <c r="A3" t="s">
        <v>20</v>
      </c>
      <c r="B3" s="2" t="s">
        <v>1</v>
      </c>
      <c r="C3" s="2"/>
      <c r="D3" t="s">
        <v>2</v>
      </c>
      <c r="E3">
        <f>COUNTIF(C5:C500,"&lt;0")</f>
        <v>1</v>
      </c>
      <c r="K3" t="s">
        <v>20</v>
      </c>
      <c r="L3" s="2" t="s">
        <v>1</v>
      </c>
      <c r="M3" s="2"/>
      <c r="N3" t="s">
        <v>2</v>
      </c>
      <c r="O3">
        <f>COUNTIF(M5:M500,"&lt;0")</f>
        <v>8</v>
      </c>
      <c r="U3" t="s">
        <v>20</v>
      </c>
      <c r="V3" s="2" t="s">
        <v>1</v>
      </c>
      <c r="W3" s="2"/>
      <c r="X3" t="s">
        <v>2</v>
      </c>
      <c r="Y3">
        <f>COUNTIF(W5:W500,"&lt;0")</f>
        <v>0</v>
      </c>
    </row>
    <row r="4" spans="1:29" s="4" customFormat="1" ht="28.8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395</v>
      </c>
      <c r="F4" s="5" t="s">
        <v>7</v>
      </c>
      <c r="G4" s="5" t="s">
        <v>8</v>
      </c>
      <c r="H4" s="5"/>
      <c r="I4" s="5"/>
      <c r="K4" s="5" t="s">
        <v>3</v>
      </c>
      <c r="L4" s="5" t="s">
        <v>4</v>
      </c>
      <c r="M4" s="5" t="s">
        <v>5</v>
      </c>
      <c r="N4" s="5" t="s">
        <v>6</v>
      </c>
      <c r="O4" s="5" t="s">
        <v>395</v>
      </c>
      <c r="P4" s="5" t="s">
        <v>7</v>
      </c>
      <c r="Q4" s="5" t="s">
        <v>8</v>
      </c>
      <c r="R4" s="5"/>
      <c r="S4" s="5"/>
      <c r="U4" s="5" t="s">
        <v>3</v>
      </c>
      <c r="V4" s="5" t="s">
        <v>4</v>
      </c>
      <c r="W4" s="5" t="s">
        <v>5</v>
      </c>
      <c r="X4" s="5" t="s">
        <v>6</v>
      </c>
      <c r="Y4" s="5" t="s">
        <v>395</v>
      </c>
      <c r="Z4" s="5" t="s">
        <v>7</v>
      </c>
      <c r="AA4" s="5" t="s">
        <v>8</v>
      </c>
      <c r="AB4" s="5"/>
      <c r="AC4" s="5"/>
    </row>
    <row r="5" spans="1:29" x14ac:dyDescent="0.3">
      <c r="A5" s="3" t="s">
        <v>379</v>
      </c>
      <c r="B5" s="3">
        <v>222</v>
      </c>
      <c r="C5" s="3">
        <v>6.04</v>
      </c>
      <c r="D5" s="3">
        <v>0.97</v>
      </c>
      <c r="E5" s="3">
        <v>6.2</v>
      </c>
      <c r="F5" s="3" t="s">
        <v>9</v>
      </c>
      <c r="G5" s="3" t="s">
        <v>24</v>
      </c>
      <c r="H5" s="3" t="s">
        <v>448</v>
      </c>
      <c r="I5" s="3"/>
      <c r="K5" s="3" t="s">
        <v>379</v>
      </c>
      <c r="L5" s="3">
        <v>154</v>
      </c>
      <c r="M5" s="3">
        <v>5.45</v>
      </c>
      <c r="N5" s="3">
        <v>0.63</v>
      </c>
      <c r="O5" s="3">
        <v>8.6999999999999993</v>
      </c>
      <c r="P5" s="3" t="s">
        <v>9</v>
      </c>
      <c r="Q5" s="3" t="s">
        <v>24</v>
      </c>
      <c r="R5" s="3" t="s">
        <v>448</v>
      </c>
      <c r="S5" s="3"/>
      <c r="U5" s="8" t="s">
        <v>377</v>
      </c>
      <c r="V5" s="8" t="s">
        <v>25</v>
      </c>
      <c r="W5" s="8"/>
      <c r="X5" s="8" t="s">
        <v>25</v>
      </c>
      <c r="Y5" s="8"/>
      <c r="Z5" s="8" t="s">
        <v>25</v>
      </c>
      <c r="AA5" s="8" t="s">
        <v>25</v>
      </c>
      <c r="AB5" s="8"/>
      <c r="AC5" s="8"/>
    </row>
    <row r="6" spans="1:29" x14ac:dyDescent="0.3">
      <c r="A6" s="14" t="s">
        <v>380</v>
      </c>
      <c r="B6" s="6">
        <v>384</v>
      </c>
      <c r="C6" s="6">
        <v>-0.58599999999999997</v>
      </c>
      <c r="D6" s="6">
        <v>0.12</v>
      </c>
      <c r="E6" s="6">
        <v>-4.9800000000000004</v>
      </c>
      <c r="F6" s="6" t="s">
        <v>9</v>
      </c>
      <c r="G6" s="6" t="s">
        <v>262</v>
      </c>
      <c r="H6" s="6" t="s">
        <v>459</v>
      </c>
      <c r="I6" s="6"/>
      <c r="K6" s="14" t="s">
        <v>381</v>
      </c>
      <c r="L6" s="6">
        <v>87.5</v>
      </c>
      <c r="M6" s="6">
        <v>-1.4</v>
      </c>
      <c r="N6" s="6">
        <v>0.28000000000000003</v>
      </c>
      <c r="O6" s="6">
        <v>-5.01</v>
      </c>
      <c r="P6" s="6" t="s">
        <v>9</v>
      </c>
      <c r="Q6" s="6" t="s">
        <v>198</v>
      </c>
      <c r="R6" s="6" t="s">
        <v>449</v>
      </c>
      <c r="S6" s="6"/>
    </row>
    <row r="7" spans="1:29" x14ac:dyDescent="0.3">
      <c r="K7" s="14" t="s">
        <v>382</v>
      </c>
      <c r="L7" s="6">
        <v>78.7</v>
      </c>
      <c r="M7" s="6">
        <v>-0.97199999999999998</v>
      </c>
      <c r="N7" s="6">
        <v>0.2</v>
      </c>
      <c r="O7" s="6">
        <v>-4.9800000000000004</v>
      </c>
      <c r="P7" s="6" t="s">
        <v>9</v>
      </c>
      <c r="Q7" s="6" t="s">
        <v>198</v>
      </c>
      <c r="R7" s="6" t="s">
        <v>450</v>
      </c>
      <c r="S7" s="6"/>
    </row>
    <row r="8" spans="1:29" x14ac:dyDescent="0.3">
      <c r="K8" s="14" t="s">
        <v>383</v>
      </c>
      <c r="L8" s="6">
        <v>44.3</v>
      </c>
      <c r="M8" s="6">
        <v>-2.0099999999999998</v>
      </c>
      <c r="N8" s="6">
        <v>0.4</v>
      </c>
      <c r="O8" s="6">
        <v>-5.0199999999999996</v>
      </c>
      <c r="P8" s="6" t="s">
        <v>9</v>
      </c>
      <c r="Q8" s="6" t="s">
        <v>198</v>
      </c>
      <c r="R8" s="6" t="s">
        <v>25</v>
      </c>
      <c r="S8" s="6"/>
    </row>
    <row r="9" spans="1:29" x14ac:dyDescent="0.3">
      <c r="K9" s="13" t="s">
        <v>384</v>
      </c>
      <c r="L9" s="3">
        <v>50.1</v>
      </c>
      <c r="M9" s="3">
        <v>1.75</v>
      </c>
      <c r="N9" s="3">
        <v>0.36</v>
      </c>
      <c r="O9" s="3">
        <v>4.8</v>
      </c>
      <c r="P9" s="3" t="s">
        <v>9</v>
      </c>
      <c r="Q9" s="3" t="s">
        <v>220</v>
      </c>
      <c r="R9" s="10" t="s">
        <v>451</v>
      </c>
      <c r="S9" s="3"/>
    </row>
    <row r="10" spans="1:29" x14ac:dyDescent="0.3">
      <c r="K10" s="13" t="s">
        <v>385</v>
      </c>
      <c r="L10" s="3">
        <v>20.3</v>
      </c>
      <c r="M10" s="3">
        <v>1.75</v>
      </c>
      <c r="N10" s="3">
        <v>0.39</v>
      </c>
      <c r="O10" s="3">
        <v>4.51</v>
      </c>
      <c r="P10" s="3" t="s">
        <v>9</v>
      </c>
      <c r="Q10" s="3" t="s">
        <v>40</v>
      </c>
      <c r="R10" s="3" t="s">
        <v>452</v>
      </c>
      <c r="S10" s="3"/>
    </row>
    <row r="11" spans="1:29" x14ac:dyDescent="0.3">
      <c r="K11" s="14" t="s">
        <v>386</v>
      </c>
      <c r="L11" s="6">
        <v>7090</v>
      </c>
      <c r="M11" s="6">
        <v>-1.27</v>
      </c>
      <c r="N11" s="6">
        <v>0.28999999999999998</v>
      </c>
      <c r="O11" s="6">
        <v>-4.42</v>
      </c>
      <c r="P11" s="6" t="s">
        <v>9</v>
      </c>
      <c r="Q11" s="6" t="s">
        <v>51</v>
      </c>
      <c r="R11" s="6" t="s">
        <v>448</v>
      </c>
      <c r="S11" s="6"/>
    </row>
    <row r="12" spans="1:29" x14ac:dyDescent="0.3">
      <c r="K12" s="13" t="s">
        <v>387</v>
      </c>
      <c r="L12" s="3">
        <v>33.700000000000003</v>
      </c>
      <c r="M12" s="3">
        <v>7.17</v>
      </c>
      <c r="N12" s="3">
        <v>1.7</v>
      </c>
      <c r="O12" s="3">
        <v>4.28</v>
      </c>
      <c r="P12" s="3" t="s">
        <v>9</v>
      </c>
      <c r="Q12" s="3" t="s">
        <v>53</v>
      </c>
      <c r="R12" s="3" t="s">
        <v>453</v>
      </c>
      <c r="S12" s="3"/>
    </row>
    <row r="13" spans="1:29" x14ac:dyDescent="0.3">
      <c r="K13" s="13" t="s">
        <v>388</v>
      </c>
      <c r="L13" s="3">
        <v>17.899999999999999</v>
      </c>
      <c r="M13" s="3">
        <v>6.21</v>
      </c>
      <c r="N13" s="3">
        <v>1.5</v>
      </c>
      <c r="O13" s="3">
        <v>4.08</v>
      </c>
      <c r="P13" s="3" t="s">
        <v>9</v>
      </c>
      <c r="Q13" s="3" t="s">
        <v>67</v>
      </c>
      <c r="R13" s="3" t="s">
        <v>452</v>
      </c>
      <c r="S13" s="3"/>
    </row>
    <row r="14" spans="1:29" x14ac:dyDescent="0.3">
      <c r="K14" s="14" t="s">
        <v>389</v>
      </c>
      <c r="L14" s="6">
        <v>19</v>
      </c>
      <c r="M14" s="6">
        <v>-1.48</v>
      </c>
      <c r="N14" s="6">
        <v>0.38</v>
      </c>
      <c r="O14" s="6">
        <v>-3.92</v>
      </c>
      <c r="P14" s="6" t="s">
        <v>9</v>
      </c>
      <c r="Q14" s="6" t="s">
        <v>86</v>
      </c>
      <c r="R14" s="6" t="s">
        <v>454</v>
      </c>
      <c r="S14" s="6"/>
    </row>
    <row r="15" spans="1:29" x14ac:dyDescent="0.3">
      <c r="K15" s="13" t="s">
        <v>390</v>
      </c>
      <c r="L15" s="3">
        <v>46.3</v>
      </c>
      <c r="M15" s="3">
        <v>6.37</v>
      </c>
      <c r="N15" s="3">
        <v>1.6</v>
      </c>
      <c r="O15" s="3">
        <v>3.86</v>
      </c>
      <c r="P15" s="3" t="s">
        <v>9</v>
      </c>
      <c r="Q15" s="3" t="s">
        <v>145</v>
      </c>
      <c r="R15" s="3" t="s">
        <v>455</v>
      </c>
      <c r="S15" s="3"/>
    </row>
    <row r="16" spans="1:29" x14ac:dyDescent="0.3">
      <c r="K16" s="14" t="s">
        <v>82</v>
      </c>
      <c r="L16" s="6">
        <v>182</v>
      </c>
      <c r="M16" s="6">
        <v>-1.51</v>
      </c>
      <c r="N16" s="6">
        <v>0.4</v>
      </c>
      <c r="O16" s="6">
        <v>-3.79</v>
      </c>
      <c r="P16" s="6" t="s">
        <v>9</v>
      </c>
      <c r="Q16" s="6" t="s">
        <v>184</v>
      </c>
      <c r="R16" s="6" t="s">
        <v>456</v>
      </c>
      <c r="S16" s="6"/>
    </row>
    <row r="17" spans="11:19" x14ac:dyDescent="0.3">
      <c r="K17" s="14" t="s">
        <v>391</v>
      </c>
      <c r="L17" s="6">
        <v>28.7</v>
      </c>
      <c r="M17" s="6">
        <v>-1.91</v>
      </c>
      <c r="N17" s="6">
        <v>0.5</v>
      </c>
      <c r="O17" s="6">
        <v>-3.79</v>
      </c>
      <c r="P17" s="6" t="s">
        <v>9</v>
      </c>
      <c r="Q17" s="6" t="s">
        <v>184</v>
      </c>
      <c r="R17" s="6" t="s">
        <v>457</v>
      </c>
      <c r="S17" s="6"/>
    </row>
    <row r="18" spans="11:19" x14ac:dyDescent="0.3">
      <c r="K18" s="14" t="s">
        <v>392</v>
      </c>
      <c r="L18" s="6">
        <v>16.7</v>
      </c>
      <c r="M18" s="6">
        <v>-1.34</v>
      </c>
      <c r="N18" s="6">
        <v>0.36</v>
      </c>
      <c r="O18" s="6">
        <v>-3.71</v>
      </c>
      <c r="P18" s="6" t="s">
        <v>9</v>
      </c>
      <c r="Q18" s="6" t="s">
        <v>17</v>
      </c>
      <c r="R18" s="6" t="s">
        <v>458</v>
      </c>
      <c r="S18" s="6"/>
    </row>
  </sheetData>
  <autoFilter ref="K4:S140" xr:uid="{3217A0A6-41D9-4BFB-8C5A-3A945E54D5A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EB14-5553-4054-8B04-153C892A27B2}">
  <dimension ref="A1:AC5"/>
  <sheetViews>
    <sheetView topLeftCell="A4" workbookViewId="0">
      <selection activeCell="Q23" sqref="Q23"/>
    </sheetView>
  </sheetViews>
  <sheetFormatPr baseColWidth="10" defaultRowHeight="14.4" x14ac:dyDescent="0.3"/>
  <cols>
    <col min="1" max="1" width="13.88671875" bestFit="1" customWidth="1"/>
    <col min="2" max="2" width="15.109375" bestFit="1" customWidth="1"/>
    <col min="3" max="3" width="7.6640625" bestFit="1" customWidth="1"/>
    <col min="4" max="4" width="14.77734375" bestFit="1" customWidth="1"/>
    <col min="5" max="5" width="14.77734375" customWidth="1"/>
    <col min="7" max="7" width="13.33203125" bestFit="1" customWidth="1"/>
    <col min="12" max="12" width="15.109375" bestFit="1" customWidth="1"/>
    <col min="13" max="13" width="8" bestFit="1" customWidth="1"/>
    <col min="14" max="14" width="13.6640625" bestFit="1" customWidth="1"/>
    <col min="15" max="15" width="13.6640625" customWidth="1"/>
    <col min="16" max="16" width="6.88671875" bestFit="1" customWidth="1"/>
    <col min="17" max="17" width="13.33203125" bestFit="1" customWidth="1"/>
    <col min="21" max="21" width="11.6640625" bestFit="1" customWidth="1"/>
    <col min="22" max="22" width="18" bestFit="1" customWidth="1"/>
    <col min="24" max="24" width="14.6640625" bestFit="1" customWidth="1"/>
    <col min="25" max="25" width="14.6640625" customWidth="1"/>
    <col min="26" max="26" width="6.88671875" bestFit="1" customWidth="1"/>
    <col min="27" max="27" width="7.88671875" bestFit="1" customWidth="1"/>
  </cols>
  <sheetData>
    <row r="1" spans="1:29" x14ac:dyDescent="0.3">
      <c r="A1" s="2" t="s">
        <v>373</v>
      </c>
      <c r="B1" s="2" t="s">
        <v>370</v>
      </c>
      <c r="C1" s="2" t="s">
        <v>393</v>
      </c>
      <c r="D1" t="s">
        <v>18</v>
      </c>
      <c r="E1">
        <f>COUNT(C5:C500)</f>
        <v>0</v>
      </c>
      <c r="G1" s="2" t="s">
        <v>440</v>
      </c>
      <c r="K1" s="2" t="s">
        <v>373</v>
      </c>
      <c r="L1" s="2" t="s">
        <v>370</v>
      </c>
      <c r="M1" s="2" t="s">
        <v>393</v>
      </c>
      <c r="N1" t="s">
        <v>18</v>
      </c>
      <c r="O1">
        <f>COUNT(M5:M500)</f>
        <v>0</v>
      </c>
      <c r="Q1" s="2" t="s">
        <v>440</v>
      </c>
      <c r="U1" s="2" t="s">
        <v>373</v>
      </c>
      <c r="V1" s="2" t="s">
        <v>370</v>
      </c>
      <c r="W1" s="2" t="s">
        <v>393</v>
      </c>
      <c r="X1" t="s">
        <v>18</v>
      </c>
      <c r="Y1">
        <f>COUNT(W5:W500)</f>
        <v>0</v>
      </c>
      <c r="AA1" s="2" t="s">
        <v>440</v>
      </c>
    </row>
    <row r="2" spans="1:29" x14ac:dyDescent="0.3">
      <c r="A2" t="s">
        <v>372</v>
      </c>
      <c r="B2" s="2" t="s">
        <v>374</v>
      </c>
      <c r="C2" s="2"/>
      <c r="D2" t="s">
        <v>0</v>
      </c>
      <c r="E2">
        <f>COUNTIF(C5:C500,"&gt;0")</f>
        <v>0</v>
      </c>
      <c r="G2" s="2" t="s">
        <v>441</v>
      </c>
      <c r="K2" t="s">
        <v>372</v>
      </c>
      <c r="L2" s="2" t="s">
        <v>375</v>
      </c>
      <c r="M2" s="2"/>
      <c r="N2" t="s">
        <v>0</v>
      </c>
      <c r="O2">
        <f>COUNTIF(M5:M500,"&gt;0")</f>
        <v>0</v>
      </c>
      <c r="Q2" s="2" t="s">
        <v>441</v>
      </c>
      <c r="U2" t="s">
        <v>372</v>
      </c>
      <c r="V2" s="2" t="s">
        <v>376</v>
      </c>
      <c r="W2" s="2"/>
      <c r="X2" t="s">
        <v>0</v>
      </c>
      <c r="Y2">
        <f>COUNTIF(W5:W500,"&gt;0")</f>
        <v>0</v>
      </c>
      <c r="AA2" s="2" t="s">
        <v>441</v>
      </c>
    </row>
    <row r="3" spans="1:29" x14ac:dyDescent="0.3">
      <c r="A3" t="s">
        <v>20</v>
      </c>
      <c r="B3" s="2" t="s">
        <v>1</v>
      </c>
      <c r="C3" s="2"/>
      <c r="D3" t="s">
        <v>2</v>
      </c>
      <c r="E3">
        <f>COUNTIF(C5:C500,"&lt;0")</f>
        <v>0</v>
      </c>
      <c r="K3" t="s">
        <v>20</v>
      </c>
      <c r="L3" s="2" t="s">
        <v>1</v>
      </c>
      <c r="M3" s="2"/>
      <c r="N3" t="s">
        <v>2</v>
      </c>
      <c r="O3">
        <f>COUNTIF(M5:M500,"&lt;0")</f>
        <v>0</v>
      </c>
      <c r="U3" t="s">
        <v>20</v>
      </c>
      <c r="V3" s="2" t="s">
        <v>1</v>
      </c>
      <c r="W3" s="2"/>
      <c r="X3" t="s">
        <v>2</v>
      </c>
      <c r="Y3">
        <f>COUNTIF(W5:W500,"&lt;0")</f>
        <v>0</v>
      </c>
    </row>
    <row r="4" spans="1:29" s="4" customFormat="1" ht="28.8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395</v>
      </c>
      <c r="F4" s="5" t="s">
        <v>7</v>
      </c>
      <c r="G4" s="5" t="s">
        <v>8</v>
      </c>
      <c r="H4" s="5"/>
      <c r="I4" s="5"/>
      <c r="K4" s="5" t="s">
        <v>3</v>
      </c>
      <c r="L4" s="5" t="s">
        <v>4</v>
      </c>
      <c r="M4" s="5" t="s">
        <v>5</v>
      </c>
      <c r="N4" s="5" t="s">
        <v>6</v>
      </c>
      <c r="O4" s="5" t="s">
        <v>395</v>
      </c>
      <c r="P4" s="5" t="s">
        <v>7</v>
      </c>
      <c r="Q4" s="5" t="s">
        <v>8</v>
      </c>
      <c r="R4" s="5"/>
      <c r="S4" s="5"/>
      <c r="U4" s="5" t="s">
        <v>3</v>
      </c>
      <c r="V4" s="5" t="s">
        <v>4</v>
      </c>
      <c r="W4" s="5" t="s">
        <v>5</v>
      </c>
      <c r="X4" s="5" t="s">
        <v>6</v>
      </c>
      <c r="Y4" s="5" t="s">
        <v>395</v>
      </c>
      <c r="Z4" s="5" t="s">
        <v>7</v>
      </c>
      <c r="AA4" s="5" t="s">
        <v>8</v>
      </c>
      <c r="AB4" s="5"/>
      <c r="AC4" s="5"/>
    </row>
    <row r="5" spans="1:29" x14ac:dyDescent="0.3">
      <c r="A5" s="8" t="s">
        <v>377</v>
      </c>
      <c r="B5" s="8" t="s">
        <v>25</v>
      </c>
      <c r="C5" s="8"/>
      <c r="D5" s="8" t="s">
        <v>25</v>
      </c>
      <c r="E5" s="8"/>
      <c r="F5" s="8" t="s">
        <v>25</v>
      </c>
      <c r="G5" s="8" t="s">
        <v>25</v>
      </c>
      <c r="H5" s="8"/>
      <c r="I5" s="8"/>
      <c r="K5" s="8" t="s">
        <v>377</v>
      </c>
      <c r="L5" s="8" t="s">
        <v>25</v>
      </c>
      <c r="M5" s="8"/>
      <c r="N5" s="8" t="s">
        <v>25</v>
      </c>
      <c r="O5" s="8"/>
      <c r="P5" s="8" t="s">
        <v>25</v>
      </c>
      <c r="Q5" s="8" t="s">
        <v>25</v>
      </c>
      <c r="R5" s="8"/>
      <c r="S5" s="8"/>
      <c r="U5" s="8" t="s">
        <v>377</v>
      </c>
      <c r="V5" s="8" t="s">
        <v>25</v>
      </c>
      <c r="W5" s="8"/>
      <c r="X5" s="8" t="s">
        <v>25</v>
      </c>
      <c r="Y5" s="8"/>
      <c r="Z5" s="8" t="s">
        <v>25</v>
      </c>
      <c r="AA5" s="8" t="s">
        <v>25</v>
      </c>
      <c r="AB5" s="8"/>
      <c r="AC5" s="8"/>
    </row>
  </sheetData>
  <autoFilter ref="K4:S140" xr:uid="{3217A0A6-41D9-4BFB-8C5A-3A945E54D5A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55f464-1ca0-499d-a1f3-d2bd0ee0d5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72316DA072C74D8C12D4ECE1E7124E" ma:contentTypeVersion="6" ma:contentTypeDescription="Crear nuevo documento." ma:contentTypeScope="" ma:versionID="b8ed3715a5f74029b90bb3b18b08bf85">
  <xsd:schema xmlns:xsd="http://www.w3.org/2001/XMLSchema" xmlns:xs="http://www.w3.org/2001/XMLSchema" xmlns:p="http://schemas.microsoft.com/office/2006/metadata/properties" xmlns:ns3="dd55f464-1ca0-499d-a1f3-d2bd0ee0d548" targetNamespace="http://schemas.microsoft.com/office/2006/metadata/properties" ma:root="true" ma:fieldsID="b8a5b9960bfc560678f8c45adbbd620b" ns3:_="">
    <xsd:import namespace="dd55f464-1ca0-499d-a1f3-d2bd0ee0d5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5f464-1ca0-499d-a1f3-d2bd0ee0d5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C36CB3-D87B-43B6-85C4-B39066AA3A10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dd55f464-1ca0-499d-a1f3-d2bd0ee0d548"/>
  </ds:schemaRefs>
</ds:datastoreItem>
</file>

<file path=customXml/itemProps2.xml><?xml version="1.0" encoding="utf-8"?>
<ds:datastoreItem xmlns:ds="http://schemas.openxmlformats.org/officeDocument/2006/customXml" ds:itemID="{F4CB39E4-67DA-4487-BA17-9771A2BB89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22B444-35FC-4FBE-9E40-56089F158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5f464-1ca0-499d-a1f3-d2bd0ee0d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H.sap.(sangre)</vt:lpstr>
      <vt:lpstr>M.musc.(aorta)</vt:lpstr>
      <vt:lpstr>M.musc.(higado)</vt:lpstr>
      <vt:lpstr>M.musc.(piel)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Saavedra</dc:creator>
  <cp:lastModifiedBy>Victor Saavedra</cp:lastModifiedBy>
  <dcterms:created xsi:type="dcterms:W3CDTF">2025-08-20T10:43:10Z</dcterms:created>
  <dcterms:modified xsi:type="dcterms:W3CDTF">2025-09-08T21:31:31Z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0x0101004B72316DA072C74D8C12D4ECE1E7124E</vt:lpwstr>
  </property>
</Properties>
</file>